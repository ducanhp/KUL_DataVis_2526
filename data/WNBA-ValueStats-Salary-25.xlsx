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songoku69/OneDrive - KU Leuven/Project/DV/Data/Useful/"/>
    </mc:Choice>
  </mc:AlternateContent>
  <xr:revisionPtr revIDLastSave="0" documentId="13_ncr:1_{25BAC9BD-28DA-BC4D-934E-8E43EDA91A7C}" xr6:coauthVersionLast="47" xr6:coauthVersionMax="47" xr10:uidLastSave="{00000000-0000-0000-0000-000000000000}"/>
  <bookViews>
    <workbookView xWindow="0" yWindow="500" windowWidth="28800" windowHeight="15820" activeTab="1" xr2:uid="{00000000-000D-0000-FFFF-FFFF00000000}"/>
  </bookViews>
  <sheets>
    <sheet name="Filtered Data" sheetId="3" r:id="rId1"/>
    <sheet name="Analysis" sheetId="5" r:id="rId2"/>
    <sheet name="Full data" sheetId="1" r:id="rId3"/>
    <sheet name="Cleaned Data" sheetId="2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5" l="1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" i="5"/>
  <c r="D3" i="5" a="1"/>
  <c r="D3" i="5" s="1"/>
  <c r="E3" i="5" a="1"/>
  <c r="E3" i="5" s="1"/>
  <c r="F3" i="5" a="1"/>
  <c r="F3" i="5" s="1"/>
  <c r="B15" i="5" a="1"/>
  <c r="B15" i="5" s="1"/>
  <c r="B14" i="5" a="1"/>
  <c r="B14" i="5" s="1"/>
  <c r="B13" i="5" a="1"/>
  <c r="B13" i="5" s="1"/>
  <c r="B12" i="5" a="1"/>
  <c r="B12" i="5" s="1"/>
  <c r="H185" i="3"/>
  <c r="B184" i="3"/>
  <c r="B185" i="3"/>
  <c r="B3" i="5"/>
  <c r="B5" i="5"/>
  <c r="B6" i="5"/>
  <c r="B7" i="5"/>
  <c r="B8" i="5"/>
  <c r="B4" i="5"/>
  <c r="P184" i="3"/>
  <c r="Q184" i="3"/>
  <c r="G184" i="3"/>
  <c r="I184" i="3"/>
  <c r="J184" i="3"/>
  <c r="K184" i="3"/>
  <c r="L184" i="3"/>
  <c r="M184" i="3"/>
  <c r="N184" i="3"/>
  <c r="O184" i="3"/>
  <c r="F184" i="3"/>
  <c r="C184" i="3"/>
  <c r="B41" i="3"/>
  <c r="B88" i="3"/>
  <c r="B166" i="3"/>
  <c r="B157" i="3"/>
  <c r="B110" i="3"/>
  <c r="B154" i="3"/>
  <c r="B164" i="3"/>
  <c r="B173" i="3"/>
  <c r="B158" i="3"/>
  <c r="B147" i="3"/>
  <c r="B82" i="3"/>
  <c r="B168" i="3"/>
  <c r="B155" i="3"/>
  <c r="B152" i="3"/>
  <c r="B163" i="3"/>
  <c r="B160" i="3"/>
  <c r="B49" i="3"/>
  <c r="B179" i="3"/>
  <c r="B156" i="3"/>
  <c r="B170" i="3"/>
  <c r="B87" i="3"/>
  <c r="B169" i="3"/>
  <c r="B177" i="3"/>
  <c r="B145" i="3"/>
  <c r="B71" i="3"/>
  <c r="B95" i="3"/>
  <c r="B181" i="3"/>
  <c r="B167" i="3"/>
  <c r="B146" i="3"/>
  <c r="H184" i="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<sst xmlns="http://schemas.openxmlformats.org/spreadsheetml/2006/main" count="1752" uniqueCount="230">
  <si>
    <t>Player</t>
  </si>
  <si>
    <t>2025 Salary</t>
  </si>
  <si>
    <t>2025 Signing</t>
  </si>
  <si>
    <t>G</t>
  </si>
  <si>
    <t>MIN</t>
  </si>
  <si>
    <t>PER</t>
  </si>
  <si>
    <t>PER*Min</t>
  </si>
  <si>
    <t>WS</t>
  </si>
  <si>
    <t>Off WS</t>
  </si>
  <si>
    <t>Def WS</t>
  </si>
  <si>
    <t>WS/40</t>
  </si>
  <si>
    <t>Off WS/40</t>
  </si>
  <si>
    <t>Def WS/40</t>
  </si>
  <si>
    <t>Player Off Rtg</t>
  </si>
  <si>
    <t>Player Def Rtg</t>
  </si>
  <si>
    <t>Kelsey Mitchell</t>
  </si>
  <si>
    <t>Core</t>
  </si>
  <si>
    <t>Arike Ogunbowale</t>
  </si>
  <si>
    <t>--</t>
  </si>
  <si>
    <t>Jewell Loyd</t>
  </si>
  <si>
    <t>Kahleah Copper</t>
  </si>
  <si>
    <t>Gabby Williams</t>
  </si>
  <si>
    <t>Ariel Atkins</t>
  </si>
  <si>
    <t>Breanna Stewart</t>
  </si>
  <si>
    <t>Sabrina Ionescu</t>
  </si>
  <si>
    <t>Rookie</t>
  </si>
  <si>
    <t>Satou Sabally</t>
  </si>
  <si>
    <t>Alyssa Thomas</t>
  </si>
  <si>
    <t>Brittney Griner</t>
  </si>
  <si>
    <t>UFA</t>
  </si>
  <si>
    <t>Natasha Howard</t>
  </si>
  <si>
    <t>Skylar Diggins</t>
  </si>
  <si>
    <t>Brionna Jones</t>
  </si>
  <si>
    <t>Napheesa Collier</t>
  </si>
  <si>
    <t>Marina Mabrey</t>
  </si>
  <si>
    <t>RFA</t>
  </si>
  <si>
    <t>Jonquel Jones</t>
  </si>
  <si>
    <t>Alysha Clark</t>
  </si>
  <si>
    <t>Kayla McBride</t>
  </si>
  <si>
    <t>Myisha Hines-Allen</t>
  </si>
  <si>
    <t>Dearica Hamby</t>
  </si>
  <si>
    <t>Kelsey Plum</t>
  </si>
  <si>
    <t>Teaira McCowan</t>
  </si>
  <si>
    <t>Tiffany Hayes</t>
  </si>
  <si>
    <t>Natasha Cloud</t>
  </si>
  <si>
    <t>DiJonai Carrington</t>
  </si>
  <si>
    <t>A'ja Wilson</t>
  </si>
  <si>
    <t>Chelsea Gray</t>
  </si>
  <si>
    <t>Brittney Sykes</t>
  </si>
  <si>
    <t>Azura Stevens</t>
  </si>
  <si>
    <t>Nneka Ogwumike</t>
  </si>
  <si>
    <t>Jordin Canada</t>
  </si>
  <si>
    <t>Allisha Gray</t>
  </si>
  <si>
    <t>Ezi Magbegor</t>
  </si>
  <si>
    <t>Reserved</t>
  </si>
  <si>
    <t>Courtney Vandersloot</t>
  </si>
  <si>
    <t>Courtney Williams</t>
  </si>
  <si>
    <t>Stefanie Dolson</t>
  </si>
  <si>
    <t>Tina Charles</t>
  </si>
  <si>
    <t>Jackie Young</t>
  </si>
  <si>
    <t>Rebecca Allen</t>
  </si>
  <si>
    <t>Shatori Walker-Kimbrough</t>
  </si>
  <si>
    <t>Nia Coffey</t>
  </si>
  <si>
    <t>Alanna Smith</t>
  </si>
  <si>
    <t>Moriah Jefferson</t>
  </si>
  <si>
    <t>Kia Nurse</t>
  </si>
  <si>
    <t>Rae Burrell</t>
  </si>
  <si>
    <t>Natisha Hiedeman</t>
  </si>
  <si>
    <t>Kayla Thornton</t>
  </si>
  <si>
    <t>Kalani Brown</t>
  </si>
  <si>
    <t>Stephanie Talbot</t>
  </si>
  <si>
    <t>Sami Whitcomb</t>
  </si>
  <si>
    <t>Bridget Carleton</t>
  </si>
  <si>
    <t>Michaela Onyenwere</t>
  </si>
  <si>
    <t>Karlie Samuelson</t>
  </si>
  <si>
    <t>Emma Cannon</t>
  </si>
  <si>
    <t>Natasha Mack</t>
  </si>
  <si>
    <t>Monique Billings</t>
  </si>
  <si>
    <t>Veronica Burton</t>
  </si>
  <si>
    <t>Kiah Stokes</t>
  </si>
  <si>
    <t>Tyasha Harris</t>
  </si>
  <si>
    <t>Elizabeth Williams</t>
  </si>
  <si>
    <t>Damiris Dantas</t>
  </si>
  <si>
    <t>Cecilia Zandalasini</t>
  </si>
  <si>
    <t>SuspCE</t>
  </si>
  <si>
    <t>Sophie Cunningham</t>
  </si>
  <si>
    <t>Megan Gustafson</t>
  </si>
  <si>
    <t>Lexie Brown</t>
  </si>
  <si>
    <t>Katie Lou Samuelson</t>
  </si>
  <si>
    <t>Rachel Banham</t>
  </si>
  <si>
    <t>Sug Sutton</t>
  </si>
  <si>
    <t>Shakira Austin</t>
  </si>
  <si>
    <t>NaLyssa Smith</t>
  </si>
  <si>
    <t>Rhyne Howard</t>
  </si>
  <si>
    <t>Lindsay Allen</t>
  </si>
  <si>
    <t>Sydney Colson</t>
  </si>
  <si>
    <t>Temi Fágbénlé</t>
  </si>
  <si>
    <t>Dana Evans</t>
  </si>
  <si>
    <t>Lexie Hull</t>
  </si>
  <si>
    <t>Yvonne Anderson</t>
  </si>
  <si>
    <t>Brianna Turner</t>
  </si>
  <si>
    <t>Julie Allemand</t>
  </si>
  <si>
    <t>Kierstan Bell</t>
  </si>
  <si>
    <t>Maddy Siegrist</t>
  </si>
  <si>
    <t>Aliyah Boston</t>
  </si>
  <si>
    <t>Diamond Miller</t>
  </si>
  <si>
    <t>Emily Engstler</t>
  </si>
  <si>
    <t>Olivia Nelson-Ododa</t>
  </si>
  <si>
    <t>Naz Hillmon</t>
  </si>
  <si>
    <t>Mercedes Russell</t>
  </si>
  <si>
    <t>Kitija Laksa</t>
  </si>
  <si>
    <t>Nyara Sabally</t>
  </si>
  <si>
    <t>Cheyenne Parker-Tyus</t>
  </si>
  <si>
    <t>Bria Hartley</t>
  </si>
  <si>
    <t>Isabelle Harrison</t>
  </si>
  <si>
    <t>Kennedy Burke</t>
  </si>
  <si>
    <t>Erica Wheeler</t>
  </si>
  <si>
    <t>Jessica Shepard</t>
  </si>
  <si>
    <t>Dominique Malonga</t>
  </si>
  <si>
    <t>Kiki Iriafen</t>
  </si>
  <si>
    <t>Sonia Citron</t>
  </si>
  <si>
    <t>Paige Bueckers</t>
  </si>
  <si>
    <t>Cameron Brink</t>
  </si>
  <si>
    <t>Rickea Jackson</t>
  </si>
  <si>
    <t>Kamilla Cardoso</t>
  </si>
  <si>
    <t>Caitlin Clark</t>
  </si>
  <si>
    <t>Emma Meesseman</t>
  </si>
  <si>
    <t>Georgia Amoore</t>
  </si>
  <si>
    <t>Aneesah Morrow</t>
  </si>
  <si>
    <t>Saniya Rivers</t>
  </si>
  <si>
    <t>Aaliyah Edwards</t>
  </si>
  <si>
    <t>Jacy Sheldon</t>
  </si>
  <si>
    <t>Angel Reese</t>
  </si>
  <si>
    <t>Hailey Van Lith</t>
  </si>
  <si>
    <t>Sarah Ashlee Barker</t>
  </si>
  <si>
    <t>Aziaha James</t>
  </si>
  <si>
    <t>Carla Leite</t>
  </si>
  <si>
    <t>Leila Lacan</t>
  </si>
  <si>
    <t>DeWanna Bonner</t>
  </si>
  <si>
    <t>Sania Feagin</t>
  </si>
  <si>
    <t>Rayah Marshall</t>
  </si>
  <si>
    <t>Anastasiia Olairi Kosu</t>
  </si>
  <si>
    <t>Aaliyah Nye</t>
  </si>
  <si>
    <t>Maddy Westbeld</t>
  </si>
  <si>
    <t>Lucy Olsen</t>
  </si>
  <si>
    <t>Makayla Timpson</t>
  </si>
  <si>
    <t>Te-Hina Paopao</t>
  </si>
  <si>
    <t>Kate Martin</t>
  </si>
  <si>
    <t>Leonie Fiebich</t>
  </si>
  <si>
    <t>Sika Kone</t>
  </si>
  <si>
    <t>Jade Melbourne</t>
  </si>
  <si>
    <t>Zia Cooke</t>
  </si>
  <si>
    <t>Lexi Held</t>
  </si>
  <si>
    <t>Luisa Geiselsoder</t>
  </si>
  <si>
    <t>Marine Johannes</t>
  </si>
  <si>
    <t>Kathryn Westbeld</t>
  </si>
  <si>
    <t>Janelle Salaun</t>
  </si>
  <si>
    <t>UDFA</t>
  </si>
  <si>
    <t>Monique Akoa Makani</t>
  </si>
  <si>
    <t>Julie Vanloo</t>
  </si>
  <si>
    <t>Taylor Thierry</t>
  </si>
  <si>
    <t>JJ Quinerly</t>
  </si>
  <si>
    <t>Jaylyn Sherrod</t>
  </si>
  <si>
    <t>Rebekah Gardner</t>
  </si>
  <si>
    <t>Maya Caldwell</t>
  </si>
  <si>
    <t>Li Yueru</t>
  </si>
  <si>
    <t>Odyssey Sims</t>
  </si>
  <si>
    <t>Maria Kliundikova</t>
  </si>
  <si>
    <t>Laeticia Amihere</t>
  </si>
  <si>
    <t>Aari McDonald</t>
  </si>
  <si>
    <t>Kaitlyn Chen</t>
  </si>
  <si>
    <t>Mackenzie Holmes</t>
  </si>
  <si>
    <t>Jaelyn Brown</t>
  </si>
  <si>
    <t>Tiffany Mitchell</t>
  </si>
  <si>
    <t>Haley Peters</t>
  </si>
  <si>
    <t>Alissa Pili</t>
  </si>
  <si>
    <t>Marquesha Davis</t>
  </si>
  <si>
    <t>Haley Jones</t>
  </si>
  <si>
    <t>Iliana Rupert</t>
  </si>
  <si>
    <t>Megan McConnell</t>
  </si>
  <si>
    <t>Murjanatu Musa</t>
  </si>
  <si>
    <t>Elizabeth Kitley</t>
  </si>
  <si>
    <t>Kariata Diaby</t>
  </si>
  <si>
    <t>Sevgi Uzun</t>
  </si>
  <si>
    <t>Chloe Bibby</t>
  </si>
  <si>
    <t>Kaila Charles</t>
  </si>
  <si>
    <t>Mamignan Touré</t>
  </si>
  <si>
    <t>Joyner Holmes</t>
  </si>
  <si>
    <t>Grace Berger</t>
  </si>
  <si>
    <t>Liatu King</t>
  </si>
  <si>
    <t>Hardship</t>
  </si>
  <si>
    <t>Crystal Bradford</t>
  </si>
  <si>
    <t>Kyara Linskens</t>
  </si>
  <si>
    <t>Shey Peddy</t>
  </si>
  <si>
    <t>Bree Hall</t>
  </si>
  <si>
    <t>Kiana Williams</t>
  </si>
  <si>
    <t>Marième Badiane</t>
  </si>
  <si>
    <t>Aerial Powers</t>
  </si>
  <si>
    <t>Camryn Taylor</t>
  </si>
  <si>
    <t>Madison Scott</t>
  </si>
  <si>
    <t>Robyn Parks</t>
  </si>
  <si>
    <t>Kamiah Smalls</t>
  </si>
  <si>
    <t>Amy Okonkwo</t>
  </si>
  <si>
    <t>Christyn Williams</t>
  </si>
  <si>
    <t>Serena Sundell</t>
  </si>
  <si>
    <t>Alexis Prince</t>
  </si>
  <si>
    <t>Kyra Lambert</t>
  </si>
  <si>
    <t>Ajae Petty</t>
  </si>
  <si>
    <t>2025 Status</t>
  </si>
  <si>
    <t>Years in the league</t>
  </si>
  <si>
    <t>Supermax</t>
  </si>
  <si>
    <t>Standard Max</t>
  </si>
  <si>
    <t>Mid-tier Veteran</t>
  </si>
  <si>
    <t>Special / Short-term</t>
  </si>
  <si>
    <t>Rookie Scale</t>
  </si>
  <si>
    <t>Veteran Minimum</t>
  </si>
  <si>
    <t>AVG</t>
  </si>
  <si>
    <t>MEDIAN</t>
  </si>
  <si>
    <t>Status</t>
  </si>
  <si>
    <t>Total</t>
  </si>
  <si>
    <t>Status count</t>
  </si>
  <si>
    <t>Player pay status</t>
  </si>
  <si>
    <t>Underpaid</t>
  </si>
  <si>
    <t>Overpaid</t>
  </si>
  <si>
    <t>High Pay / High PER</t>
  </si>
  <si>
    <t>Low Pay / Low PER</t>
  </si>
  <si>
    <t xml:space="preserve">Player </t>
  </si>
  <si>
    <t>Salary tier</t>
  </si>
  <si>
    <t>What-if scenarios of underpaid players</t>
  </si>
  <si>
    <t>Adjusted salary tier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</si>
</sst>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"/>
    <numFmt numFmtId="165" formatCode="0.0"/>
    <numFmt numFmtId="166" formatCode="_-[$$-409]* #,##0.00_ ;_-[$$-409]* \-#,##0.00\ ;_-[$$-409]* &quot;-&quot;??_ ;_-@_ "/>
  </numFmts>
  <fonts count="18" x14ac:knownFonts="1">
    <font>
      <sz val="12"/>
      <color theme="1"/>
      <name val="Calibri"/>
    </font>
    <font>
      <sz val="12"/>
      <color theme="1"/>
      <name val="Calibri"/>
      <family val="2"/>
    </font>
    <font>
      <sz val="12"/>
      <color theme="10"/>
      <name val="Calibri"/>
      <family val="2"/>
    </font>
    <font>
      <sz val="13"/>
      <color rgb="FF0B9444"/>
      <name val="Calibri"/>
      <family val="2"/>
    </font>
    <font>
      <sz val="13"/>
      <color rgb="FF212529"/>
      <name val="Calibri"/>
      <family val="2"/>
    </font>
    <font>
      <sz val="13"/>
      <color rgb="FF808080"/>
      <name val="Calibri"/>
      <family val="2"/>
    </font>
    <font>
      <sz val="13"/>
      <color rgb="FFCB223A"/>
      <name val="Calibri"/>
      <family val="2"/>
    </font>
    <font>
      <b/>
      <sz val="16"/>
      <color theme="1"/>
      <name val="Calibri"/>
      <family val="2"/>
    </font>
    <font>
      <b/>
      <sz val="12"/>
      <color rgb="FF000000"/>
      <name val="Calibri"/>
      <family val="2"/>
    </font>
    <font>
      <b/>
      <sz val="16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3"/>
      <color rgb="FF212529"/>
      <name val="Calibri"/>
      <family val="2"/>
      <scheme val="minor"/>
    </font>
    <font>
      <sz val="13"/>
      <color theme="1"/>
      <name val="Calibri"/>
      <family val="2"/>
    </font>
    <font>
      <b/>
      <sz val="12"/>
      <color theme="1"/>
      <name val="Calibri"/>
      <family val="2"/>
    </font>
    <font>
      <b/>
      <sz val="12"/>
      <name val="Calibri"/>
      <family val="2"/>
    </font>
    <font>
      <sz val="12"/>
      <name val="Calibri"/>
      <family val="2"/>
    </font>
    <font>
      <b/>
      <sz val="14"/>
      <color theme="1"/>
      <name val="Calibri"/>
      <family val="2"/>
    </font>
    <font>
      <b/>
      <sz val="16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7"/>
      </patternFill>
    </fill>
    <fill>
      <patternFill patternType="solid">
        <fgColor rgb="FFF2B705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51">
    <xf numFmtId="0" fontId="0" fillId="0" borderId="0" xfId="0"/>
    <xf numFmtId="0" fontId="7" fillId="2" borderId="0" xfId="0" applyFont="1" applyFill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8" fillId="3" borderId="0" xfId="0" applyFont="1" applyFill="1" applyAlignment="1">
      <alignment horizontal="center" vertical="center"/>
    </xf>
    <xf numFmtId="49" fontId="0" fillId="0" borderId="0" xfId="0" applyNumberFormat="1"/>
    <xf numFmtId="164" fontId="0" fillId="0" borderId="0" xfId="0" applyNumberFormat="1"/>
    <xf numFmtId="3" fontId="0" fillId="0" borderId="0" xfId="0" applyNumberFormat="1"/>
    <xf numFmtId="165" fontId="0" fillId="0" borderId="0" xfId="0" applyNumberFormat="1"/>
    <xf numFmtId="2" fontId="0" fillId="0" borderId="0" xfId="0" applyNumberFormat="1"/>
    <xf numFmtId="3" fontId="4" fillId="0" borderId="0" xfId="0" applyNumberFormat="1" applyFont="1" applyAlignment="1">
      <alignment horizontal="left" vertical="center" wrapText="1"/>
    </xf>
    <xf numFmtId="165" fontId="4" fillId="0" borderId="0" xfId="0" applyNumberFormat="1" applyFont="1" applyAlignment="1">
      <alignment horizontal="left" vertical="center" wrapText="1"/>
    </xf>
    <xf numFmtId="2" fontId="4" fillId="0" borderId="0" xfId="0" applyNumberFormat="1" applyFont="1" applyAlignment="1">
      <alignment horizontal="left" vertical="center" wrapText="1"/>
    </xf>
    <xf numFmtId="166" fontId="7" fillId="2" borderId="0" xfId="1" applyNumberFormat="1" applyFont="1" applyFill="1" applyAlignment="1">
      <alignment horizontal="left" vertical="center"/>
    </xf>
    <xf numFmtId="166" fontId="3" fillId="0" borderId="0" xfId="0" applyNumberFormat="1" applyFont="1" applyAlignment="1">
      <alignment horizontal="left" vertical="center"/>
    </xf>
    <xf numFmtId="166" fontId="5" fillId="0" borderId="0" xfId="0" applyNumberFormat="1" applyFont="1" applyAlignment="1">
      <alignment horizontal="left" vertical="center"/>
    </xf>
    <xf numFmtId="166" fontId="6" fillId="0" borderId="0" xfId="0" applyNumberFormat="1" applyFont="1" applyAlignment="1">
      <alignment horizontal="left" vertical="center"/>
    </xf>
    <xf numFmtId="166" fontId="4" fillId="0" borderId="0" xfId="0" applyNumberFormat="1" applyFont="1" applyAlignment="1">
      <alignment horizontal="left" vertical="center"/>
    </xf>
    <xf numFmtId="166" fontId="0" fillId="0" borderId="0" xfId="1" applyNumberFormat="1" applyFont="1" applyAlignment="1"/>
    <xf numFmtId="0" fontId="1" fillId="0" borderId="0" xfId="0" applyFont="1"/>
    <xf numFmtId="0" fontId="9" fillId="4" borderId="0" xfId="0" applyFont="1" applyFill="1" applyAlignment="1">
      <alignment horizontal="left" vertical="center" wrapText="1"/>
    </xf>
    <xf numFmtId="0" fontId="10" fillId="0" borderId="0" xfId="2" applyNumberFormat="1" applyFont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7" fillId="2" borderId="0" xfId="1" applyNumberFormat="1" applyFont="1" applyFill="1" applyAlignment="1">
      <alignment horizontal="left" vertical="center" wrapText="1"/>
    </xf>
    <xf numFmtId="0" fontId="12" fillId="0" borderId="0" xfId="0" applyFont="1" applyAlignment="1">
      <alignment horizontal="left" vertical="center"/>
    </xf>
    <xf numFmtId="0" fontId="1" fillId="0" borderId="0" xfId="1" applyNumberFormat="1"/>
    <xf numFmtId="0" fontId="13" fillId="0" borderId="0" xfId="0" applyFont="1"/>
    <xf numFmtId="0" fontId="14" fillId="5" borderId="0" xfId="0" applyFont="1" applyFill="1"/>
    <xf numFmtId="0" fontId="15" fillId="5" borderId="0" xfId="1" applyNumberFormat="1" applyFont="1" applyFill="1" applyAlignment="1"/>
    <xf numFmtId="3" fontId="15" fillId="5" borderId="0" xfId="1" applyNumberFormat="1" applyFont="1" applyFill="1" applyAlignment="1"/>
    <xf numFmtId="0" fontId="7" fillId="2" borderId="0" xfId="1" applyNumberFormat="1" applyFont="1" applyFill="1" applyAlignment="1">
      <alignment horizontal="left" vertical="center"/>
    </xf>
    <xf numFmtId="0" fontId="3" fillId="0" borderId="0" xfId="0" applyNumberFormat="1" applyFont="1" applyAlignment="1">
      <alignment horizontal="left" vertical="center"/>
    </xf>
    <xf numFmtId="0" fontId="5" fillId="0" borderId="0" xfId="0" applyNumberFormat="1" applyFont="1" applyAlignment="1">
      <alignment horizontal="left" vertical="center"/>
    </xf>
    <xf numFmtId="0" fontId="6" fillId="0" borderId="0" xfId="0" applyNumberFormat="1" applyFont="1" applyAlignment="1">
      <alignment horizontal="left" vertical="center"/>
    </xf>
    <xf numFmtId="0" fontId="0" fillId="0" borderId="0" xfId="1" applyNumberFormat="1" applyFont="1" applyAlignment="1"/>
    <xf numFmtId="0" fontId="7" fillId="4" borderId="2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6" fillId="6" borderId="1" xfId="0" applyFont="1" applyFill="1" applyBorder="1" applyAlignment="1">
      <alignment vertical="center"/>
    </xf>
    <xf numFmtId="0" fontId="0" fillId="0" borderId="9" xfId="0" applyBorder="1" applyAlignment="1">
      <alignment vertical="center"/>
    </xf>
    <xf numFmtId="0" fontId="1" fillId="0" borderId="5" xfId="0" applyFont="1" applyBorder="1" applyAlignment="1">
      <alignment vertical="center"/>
    </xf>
    <xf numFmtId="0" fontId="0" fillId="0" borderId="8" xfId="0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10" xfId="0" applyBorder="1" applyAlignment="1">
      <alignment vertical="center"/>
    </xf>
    <xf numFmtId="0" fontId="17" fillId="4" borderId="1" xfId="0" applyFont="1" applyFill="1" applyBorder="1" applyAlignment="1">
      <alignment horizontal="center" vertical="center"/>
    </xf>
  </cellXfs>
  <cellStyles count="3">
    <cellStyle name="Hyperlink" xfId="2" xr:uid="{00000000-0005-0000-0000-000000000000}"/>
    <cellStyle name="Normal" xfId="0" builtinId="0"/>
    <cellStyle name="Per cent" xfId="1" xr:uid="{00000000-0005-0000-0000-000002000000}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leanedWNBAStatsSalary25" displayName="CleanedWNBAStatsSalary25" ref="A1:O228">
  <tableColumns count="15">
    <tableColumn id="1" xr3:uid="{00000000-0010-0000-0000-000001000000}" name="Player"/>
    <tableColumn id="2" xr3:uid="{00000000-0010-0000-0000-000002000000}" name="2025 Salary"/>
    <tableColumn id="3" xr3:uid="{00000000-0010-0000-0000-000003000000}" name="2025 Signing"/>
    <tableColumn id="4" xr3:uid="{00000000-0010-0000-0000-000004000000}" name="G"/>
    <tableColumn id="5" xr3:uid="{00000000-0010-0000-0000-000005000000}" name="MIN"/>
    <tableColumn id="6" xr3:uid="{00000000-0010-0000-0000-000006000000}" name="PER"/>
    <tableColumn id="7" xr3:uid="{00000000-0010-0000-0000-000007000000}" name="PER*Min"/>
    <tableColumn id="8" xr3:uid="{00000000-0010-0000-0000-000008000000}" name="WS"/>
    <tableColumn id="9" xr3:uid="{00000000-0010-0000-0000-000009000000}" name="Off WS"/>
    <tableColumn id="10" xr3:uid="{00000000-0010-0000-0000-00000A000000}" name="Def WS"/>
    <tableColumn id="11" xr3:uid="{00000000-0010-0000-0000-00000B000000}" name="WS/40"/>
    <tableColumn id="12" xr3:uid="{00000000-0010-0000-0000-00000C000000}" name="Off WS/40"/>
    <tableColumn id="13" xr3:uid="{00000000-0010-0000-0000-00000D000000}" name="Def WS/40"/>
    <tableColumn id="14" xr3:uid="{00000000-0010-0000-0000-00000E000000}" name="Player Off Rtg"/>
    <tableColumn id="15" xr3:uid="{00000000-0010-0000-0000-00000F000000}" name="Player Def Rt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herhoopstats.com/stats/wnba/player/lexie-brown-stats-11eaecc7-473e-e102-b611-2362f5011b0b/" TargetMode="External"/><Relationship Id="rId21" Type="http://schemas.openxmlformats.org/officeDocument/2006/relationships/hyperlink" Target="https://herhoopstats.com/stats/wnba/player/mamignan-tour%C3%A9-stats-11f02f7d-01a9-5516-be47-12df17ae4e1e/" TargetMode="External"/><Relationship Id="rId42" Type="http://schemas.openxmlformats.org/officeDocument/2006/relationships/hyperlink" Target="https://herhoopstats.com/stats/wnba/player/li-yueru-stats-11eaecc7-58ac-1f54-b611-2362f5011b0b/" TargetMode="External"/><Relationship Id="rId63" Type="http://schemas.openxmlformats.org/officeDocument/2006/relationships/hyperlink" Target="https://herhoopstats.com/stats/wnba/player/maddy-westbeld-stats-11f02f7c-ddfa-609c-be47-12df17ae4e1e/" TargetMode="External"/><Relationship Id="rId84" Type="http://schemas.openxmlformats.org/officeDocument/2006/relationships/hyperlink" Target="https://herhoopstats.com/stats/wnba/player/paige-bueckers-stats-11f02f7c-fd3d-c2fa-be47-12df17ae4e1e/" TargetMode="External"/><Relationship Id="rId138" Type="http://schemas.openxmlformats.org/officeDocument/2006/relationships/hyperlink" Target="https://herhoopstats.com/stats/wnba/player/kia-nurse-stats-11eaecc7-4321-b31a-b611-2362f5011b0b/" TargetMode="External"/><Relationship Id="rId159" Type="http://schemas.openxmlformats.org/officeDocument/2006/relationships/hyperlink" Target="https://herhoopstats.com/stats/wnba/player/tiffany-hayes-stats-11eaecc7-41f3-ae80-b611-2362f5011b0b/" TargetMode="External"/><Relationship Id="rId170" Type="http://schemas.openxmlformats.org/officeDocument/2006/relationships/hyperlink" Target="https://herhoopstats.com/stats/wnba/player/skylar-diggins-stats-11eaecc7-495f-145c-b611-2362f5011b0b/" TargetMode="External"/><Relationship Id="rId107" Type="http://schemas.openxmlformats.org/officeDocument/2006/relationships/hyperlink" Target="https://herhoopstats.com/stats/wnba/player/lexie-hull-stats-11eccc24-e0aa-8448-ba73-12df17ae4e1e/" TargetMode="External"/><Relationship Id="rId11" Type="http://schemas.openxmlformats.org/officeDocument/2006/relationships/hyperlink" Target="https://herhoopstats.com/stats/wnba/player/aerial-powers-stats-11eaecc7-404e-cc36-b611-2362f5011b0b/" TargetMode="External"/><Relationship Id="rId32" Type="http://schemas.openxmlformats.org/officeDocument/2006/relationships/hyperlink" Target="https://herhoopstats.com/stats/wnba/player/marquesha-davis-stats-11ef10cc-5bb7-1a28-b390-a0c589f521ca/" TargetMode="External"/><Relationship Id="rId53" Type="http://schemas.openxmlformats.org/officeDocument/2006/relationships/hyperlink" Target="https://herhoopstats.com/stats/wnba/player/luisa-geiselsoder-stats-11ebb4ed-e38e-c0a6-9185-12df17ae4e1e/" TargetMode="External"/><Relationship Id="rId74" Type="http://schemas.openxmlformats.org/officeDocument/2006/relationships/hyperlink" Target="https://herhoopstats.com/stats/wnba/player/angel-reese-stats-11ef10cc-1f4d-0232-b390-a0c589f521ca/" TargetMode="External"/><Relationship Id="rId128" Type="http://schemas.openxmlformats.org/officeDocument/2006/relationships/hyperlink" Target="https://herhoopstats.com/stats/wnba/player/emma-cannon-stats-11eaecc7-4cfd-a63c-b611-2362f5011b0b/" TargetMode="External"/><Relationship Id="rId149" Type="http://schemas.openxmlformats.org/officeDocument/2006/relationships/hyperlink" Target="https://herhoopstats.com/stats/wnba/player/ezi-magbegor-stats-11eaecc7-441a-969c-b611-2362f5011b0b/" TargetMode="External"/><Relationship Id="rId5" Type="http://schemas.openxmlformats.org/officeDocument/2006/relationships/hyperlink" Target="https://herhoopstats.com/stats/wnba/player/christyn-williams-stats-11eccc25-118b-199c-ba73-12df17ae4e1e/" TargetMode="External"/><Relationship Id="rId95" Type="http://schemas.openxmlformats.org/officeDocument/2006/relationships/hyperlink" Target="https://herhoopstats.com/stats/wnba/player/kitija-laksa-stats-11ebb4ed-e647-d968-9185-12df17ae4e1e/" TargetMode="External"/><Relationship Id="rId160" Type="http://schemas.openxmlformats.org/officeDocument/2006/relationships/hyperlink" Target="https://herhoopstats.com/stats/wnba/player/teaira-mccowan-stats-11eaecc7-3f66-c81e-b611-2362f5011b0b/" TargetMode="External"/><Relationship Id="rId181" Type="http://schemas.openxmlformats.org/officeDocument/2006/relationships/hyperlink" Target="https://herhoopstats.com/stats/wnba/player/arike-ogunbowale-stats-11eaecc7-4acc-6038-b611-2362f5011b0b/" TargetMode="External"/><Relationship Id="rId22" Type="http://schemas.openxmlformats.org/officeDocument/2006/relationships/hyperlink" Target="https://herhoopstats.com/stats/wnba/player/kaila-charles-stats-11eaecc7-3dfd-1fdc-b611-2362f5011b0b/" TargetMode="External"/><Relationship Id="rId43" Type="http://schemas.openxmlformats.org/officeDocument/2006/relationships/hyperlink" Target="https://herhoopstats.com/stats/wnba/player/maya-caldwell-stats-11ebb4ed-eaa5-71aa-9185-12df17ae4e1e/" TargetMode="External"/><Relationship Id="rId64" Type="http://schemas.openxmlformats.org/officeDocument/2006/relationships/hyperlink" Target="https://herhoopstats.com/stats/wnba/player/aaliyah-nye-stats-11f02f7c-f1f8-1710-be47-12df17ae4e1e/" TargetMode="External"/><Relationship Id="rId118" Type="http://schemas.openxmlformats.org/officeDocument/2006/relationships/hyperlink" Target="https://herhoopstats.com/stats/wnba/player/megan-gustafson-stats-11eaecc7-4aa4-1740-b611-2362f5011b0b/" TargetMode="External"/><Relationship Id="rId139" Type="http://schemas.openxmlformats.org/officeDocument/2006/relationships/hyperlink" Target="https://herhoopstats.com/stats/wnba/player/moriah-jefferson-stats-11eaecc7-4a7d-02d6-b611-2362f5011b0b/" TargetMode="External"/><Relationship Id="rId85" Type="http://schemas.openxmlformats.org/officeDocument/2006/relationships/hyperlink" Target="https://herhoopstats.com/stats/wnba/player/sonia-citron-stats-11f02f7c-e6c3-79b6-be47-12df17ae4e1e/" TargetMode="External"/><Relationship Id="rId150" Type="http://schemas.openxmlformats.org/officeDocument/2006/relationships/hyperlink" Target="https://herhoopstats.com/stats/wnba/player/allisha-gray-stats-11eaecc7-4a13-fcb4-b611-2362f5011b0b/" TargetMode="External"/><Relationship Id="rId171" Type="http://schemas.openxmlformats.org/officeDocument/2006/relationships/hyperlink" Target="https://herhoopstats.com/stats/wnba/player/natasha-howard-stats-11eaecc7-43d0-ecb8-b611-2362f5011b0b/" TargetMode="External"/><Relationship Id="rId12" Type="http://schemas.openxmlformats.org/officeDocument/2006/relationships/hyperlink" Target="https://herhoopstats.com/stats/wnba/player/mari%C3%A8me-badiane-stats-11f02f7c-f7b3-f732-be47-12df17ae4e1e/" TargetMode="External"/><Relationship Id="rId33" Type="http://schemas.openxmlformats.org/officeDocument/2006/relationships/hyperlink" Target="https://herhoopstats.com/stats/wnba/player/alissa-pili-stats-11ef10cc-7ef5-9d5c-b390-a0c589f521ca/" TargetMode="External"/><Relationship Id="rId108" Type="http://schemas.openxmlformats.org/officeDocument/2006/relationships/hyperlink" Target="https://herhoopstats.com/stats/wnba/player/dana-evans-stats-11ebb4ec-f985-e052-9a0e-12df17ae4e1e/" TargetMode="External"/><Relationship Id="rId129" Type="http://schemas.openxmlformats.org/officeDocument/2006/relationships/hyperlink" Target="https://herhoopstats.com/stats/wnba/player/karlie-samuelson-stats-11eaecd2-c023-acc8-90cd-31ee0f3687c8/" TargetMode="External"/><Relationship Id="rId54" Type="http://schemas.openxmlformats.org/officeDocument/2006/relationships/hyperlink" Target="https://herhoopstats.com/stats/wnba/player/lexi-held-stats-11eccc25-0b10-079e-ba73-12df17ae4e1e/" TargetMode="External"/><Relationship Id="rId75" Type="http://schemas.openxmlformats.org/officeDocument/2006/relationships/hyperlink" Target="https://herhoopstats.com/stats/wnba/player/jacy-sheldon-stats-11edf6b8-c31e-094e-94f3-024276bea302/" TargetMode="External"/><Relationship Id="rId96" Type="http://schemas.openxmlformats.org/officeDocument/2006/relationships/hyperlink" Target="https://herhoopstats.com/stats/wnba/player/mercedes-russell-stats-11eaecc7-43a5-dab4-b611-2362f5011b0b/" TargetMode="External"/><Relationship Id="rId140" Type="http://schemas.openxmlformats.org/officeDocument/2006/relationships/hyperlink" Target="https://herhoopstats.com/stats/wnba/player/alanna-smith-stats-11eaecc7-4987-381a-b611-2362f5011b0b/" TargetMode="External"/><Relationship Id="rId161" Type="http://schemas.openxmlformats.org/officeDocument/2006/relationships/hyperlink" Target="https://herhoopstats.com/stats/wnba/player/kelsey-plum-stats-11eaecc7-44d4-ac1c-b611-2362f5011b0b/" TargetMode="External"/><Relationship Id="rId182" Type="http://schemas.openxmlformats.org/officeDocument/2006/relationships/hyperlink" Target="https://herhoopstats.com/stats/wnba/player/kelsey-mitchell-stats-11eaecc7-3f02-2418-b611-2362f5011b0b/" TargetMode="External"/><Relationship Id="rId6" Type="http://schemas.openxmlformats.org/officeDocument/2006/relationships/hyperlink" Target="https://herhoopstats.com/stats/wnba/player/amy-okonkwo-stats-11ebb4ed-e2df-a904-9185-12df17ae4e1e/" TargetMode="External"/><Relationship Id="rId23" Type="http://schemas.openxmlformats.org/officeDocument/2006/relationships/hyperlink" Target="https://herhoopstats.com/stats/wnba/player/chloe-bibby-stats-11eccc25-0650-0d58-ba73-12df17ae4e1e/" TargetMode="External"/><Relationship Id="rId119" Type="http://schemas.openxmlformats.org/officeDocument/2006/relationships/hyperlink" Target="https://herhoopstats.com/stats/wnba/player/sophie-cunningham-stats-11eaecc7-4936-aeae-b611-2362f5011b0b/" TargetMode="External"/><Relationship Id="rId44" Type="http://schemas.openxmlformats.org/officeDocument/2006/relationships/hyperlink" Target="https://herhoopstats.com/stats/wnba/player/rebekah-gardner-stats-11eaecc7-58e4-2e8a-b611-2362f5011b0b/" TargetMode="External"/><Relationship Id="rId60" Type="http://schemas.openxmlformats.org/officeDocument/2006/relationships/hyperlink" Target="https://herhoopstats.com/stats/wnba/player/te-hina-paopao-stats-11f02f7c-ead8-9806-be47-12df17ae4e1e/" TargetMode="External"/><Relationship Id="rId65" Type="http://schemas.openxmlformats.org/officeDocument/2006/relationships/hyperlink" Target="https://herhoopstats.com/stats/wnba/player/anastasiia-olairi-kosu-stats-11f02f7c-f85f-aece-be47-12df17ae4e1e/" TargetMode="External"/><Relationship Id="rId81" Type="http://schemas.openxmlformats.org/officeDocument/2006/relationships/hyperlink" Target="https://herhoopstats.com/stats/wnba/player/kamilla-cardoso-stats-11ef10cc-22e6-5d4e-b390-a0c589f521ca/" TargetMode="External"/><Relationship Id="rId86" Type="http://schemas.openxmlformats.org/officeDocument/2006/relationships/hyperlink" Target="https://herhoopstats.com/stats/wnba/player/kiki-iriafen-stats-11f02f7c-e67f-3508-be47-12df17ae4e1e/" TargetMode="External"/><Relationship Id="rId130" Type="http://schemas.openxmlformats.org/officeDocument/2006/relationships/hyperlink" Target="https://herhoopstats.com/stats/wnba/player/michaela-onyenwere-stats-11ebb4ec-f433-dc94-9a0e-12df17ae4e1e/" TargetMode="External"/><Relationship Id="rId135" Type="http://schemas.openxmlformats.org/officeDocument/2006/relationships/hyperlink" Target="https://herhoopstats.com/stats/wnba/player/kayla-thornton-stats-11eaecc7-4a90-c44c-b611-2362f5011b0b/" TargetMode="External"/><Relationship Id="rId151" Type="http://schemas.openxmlformats.org/officeDocument/2006/relationships/hyperlink" Target="https://herhoopstats.com/stats/wnba/player/jordin-canada-stats-11eaecc7-43b9-89ce-b611-2362f5011b0b/" TargetMode="External"/><Relationship Id="rId156" Type="http://schemas.openxmlformats.org/officeDocument/2006/relationships/hyperlink" Target="https://herhoopstats.com/stats/wnba/player/aja-wilson-stats-11eaecc7-44fc-b036-b611-2362f5011b0b/" TargetMode="External"/><Relationship Id="rId177" Type="http://schemas.openxmlformats.org/officeDocument/2006/relationships/hyperlink" Target="https://herhoopstats.com/stats/wnba/player/ariel-atkins-stats-11eaecc7-3fd7-a656-b611-2362f5011b0b/" TargetMode="External"/><Relationship Id="rId172" Type="http://schemas.openxmlformats.org/officeDocument/2006/relationships/hyperlink" Target="https://herhoopstats.com/stats/wnba/player/brittney-griner-stats-11eaecc7-48bb-e0e8-b611-2362f5011b0b/" TargetMode="External"/><Relationship Id="rId13" Type="http://schemas.openxmlformats.org/officeDocument/2006/relationships/hyperlink" Target="https://herhoopstats.com/stats/wnba/player/kiana-williams-stats-11ebb4ec-f541-2736-9a0e-12df17ae4e1e/" TargetMode="External"/><Relationship Id="rId18" Type="http://schemas.openxmlformats.org/officeDocument/2006/relationships/hyperlink" Target="https://herhoopstats.com/stats/wnba/player/liatu-king-stats-11f02f7d-2d73-639e-be47-12df17ae4e1e/" TargetMode="External"/><Relationship Id="rId39" Type="http://schemas.openxmlformats.org/officeDocument/2006/relationships/hyperlink" Target="https://herhoopstats.com/stats/wnba/player/laeticia-amihere-stats-11edf6b6-e9da-ce5c-b638-024276bea302/" TargetMode="External"/><Relationship Id="rId109" Type="http://schemas.openxmlformats.org/officeDocument/2006/relationships/hyperlink" Target="https://herhoopstats.com/stats/wnba/player/temi-f%C3%A1gb%C3%A9nl%C3%A9-stats-11eaeccf-b7f8-167c-abdf-1f3cc36cb6a8/" TargetMode="External"/><Relationship Id="rId34" Type="http://schemas.openxmlformats.org/officeDocument/2006/relationships/hyperlink" Target="https://herhoopstats.com/stats/wnba/player/tiffany-mitchell-stats-11eaecc7-3e8b-a5c2-b611-2362f5011b0b/" TargetMode="External"/><Relationship Id="rId50" Type="http://schemas.openxmlformats.org/officeDocument/2006/relationships/hyperlink" Target="https://herhoopstats.com/stats/wnba/player/janelle-salaun-stats-11f02f7d-01ec-45e2-be47-12df17ae4e1e/" TargetMode="External"/><Relationship Id="rId55" Type="http://schemas.openxmlformats.org/officeDocument/2006/relationships/hyperlink" Target="https://herhoopstats.com/stats/wnba/player/zia-cooke-stats-11edf6b7-148b-5b94-b638-024276bea302/" TargetMode="External"/><Relationship Id="rId76" Type="http://schemas.openxmlformats.org/officeDocument/2006/relationships/hyperlink" Target="https://herhoopstats.com/stats/wnba/player/aaliyah-edwards-stats-11ef10cc-41e1-7ee0-b390-a0c589f521ca/" TargetMode="External"/><Relationship Id="rId97" Type="http://schemas.openxmlformats.org/officeDocument/2006/relationships/hyperlink" Target="https://herhoopstats.com/stats/wnba/player/naz-hillmon-stats-11eccc24-e355-9750-ba73-12df17ae4e1e/" TargetMode="External"/><Relationship Id="rId104" Type="http://schemas.openxmlformats.org/officeDocument/2006/relationships/hyperlink" Target="https://herhoopstats.com/stats/wnba/player/julie-allemand-stats-11eaecc7-3e9f-d542-b611-2362f5011b0b/" TargetMode="External"/><Relationship Id="rId120" Type="http://schemas.openxmlformats.org/officeDocument/2006/relationships/hyperlink" Target="https://herhoopstats.com/stats/wnba/player/cecilia-zandalasini-stats-11eaecea-ccf2-b3fa-934f-8b50fcb63fde/" TargetMode="External"/><Relationship Id="rId125" Type="http://schemas.openxmlformats.org/officeDocument/2006/relationships/hyperlink" Target="https://herhoopstats.com/stats/wnba/player/veronica-burton-stats-11eccc24-ee6e-08f2-ba73-12df17ae4e1e/" TargetMode="External"/><Relationship Id="rId141" Type="http://schemas.openxmlformats.org/officeDocument/2006/relationships/hyperlink" Target="https://herhoopstats.com/stats/wnba/player/nia-coffey-stats-11eaecc7-4922-6ff2-b611-2362f5011b0b/" TargetMode="External"/><Relationship Id="rId146" Type="http://schemas.openxmlformats.org/officeDocument/2006/relationships/hyperlink" Target="https://herhoopstats.com/stats/wnba/player/stefanie-dolson-stats-11eaecc7-3c9e-9f12-b611-2362f5011b0b/" TargetMode="External"/><Relationship Id="rId167" Type="http://schemas.openxmlformats.org/officeDocument/2006/relationships/hyperlink" Target="https://herhoopstats.com/stats/wnba/player/marina-mabrey-stats-11eaecc7-4a51-4696-b611-2362f5011b0b/" TargetMode="External"/><Relationship Id="rId7" Type="http://schemas.openxmlformats.org/officeDocument/2006/relationships/hyperlink" Target="https://herhoopstats.com/stats/wnba/player/kamiah-smalls-stats-11eaecc7-3f52-ac12-b611-2362f5011b0b/" TargetMode="External"/><Relationship Id="rId71" Type="http://schemas.openxmlformats.org/officeDocument/2006/relationships/hyperlink" Target="https://herhoopstats.com/stats/wnba/player/aziaha-james-stats-11f02f7c-fcb1-011c-be47-12df17ae4e1e/" TargetMode="External"/><Relationship Id="rId92" Type="http://schemas.openxmlformats.org/officeDocument/2006/relationships/hyperlink" Target="https://herhoopstats.com/stats/wnba/player/bria-hartley-stats-11eaecc7-48e4-f4ba-b611-2362f5011b0b/" TargetMode="External"/><Relationship Id="rId162" Type="http://schemas.openxmlformats.org/officeDocument/2006/relationships/hyperlink" Target="https://herhoopstats.com/stats/wnba/player/dearica-hamby-stats-11eaecc7-4510-aa3c-b611-2362f5011b0b/" TargetMode="External"/><Relationship Id="rId2" Type="http://schemas.openxmlformats.org/officeDocument/2006/relationships/hyperlink" Target="https://herhoopstats.com/stats/wnba/player/kyra-lambert-stats-11f07932-3df5-f5c0-8820-12df17ae4e1e/" TargetMode="External"/><Relationship Id="rId29" Type="http://schemas.openxmlformats.org/officeDocument/2006/relationships/hyperlink" Target="https://herhoopstats.com/stats/wnba/player/megan-mcconnell-stats-11f02f7c-fbda-57fc-be47-12df17ae4e1e/" TargetMode="External"/><Relationship Id="rId24" Type="http://schemas.openxmlformats.org/officeDocument/2006/relationships/hyperlink" Target="https://herhoopstats.com/stats/wnba/player/haley-peters-stats-11eaecc7-5587-a8ac-b611-2362f5011b0b/" TargetMode="External"/><Relationship Id="rId40" Type="http://schemas.openxmlformats.org/officeDocument/2006/relationships/hyperlink" Target="https://herhoopstats.com/stats/wnba/player/maria-kliundikova-stats-11eaeccf-b905-7118-abdf-1f3cc36cb6a8/" TargetMode="External"/><Relationship Id="rId45" Type="http://schemas.openxmlformats.org/officeDocument/2006/relationships/hyperlink" Target="https://herhoopstats.com/stats/wnba/player/jaylyn-sherrod-stats-11ef10cc-5d9a-e86a-b390-a0c589f521ca/" TargetMode="External"/><Relationship Id="rId66" Type="http://schemas.openxmlformats.org/officeDocument/2006/relationships/hyperlink" Target="https://herhoopstats.com/stats/wnba/player/rayah-marshall-stats-11f02f7c-e2c0-87fa-be47-12df17ae4e1e/" TargetMode="External"/><Relationship Id="rId87" Type="http://schemas.openxmlformats.org/officeDocument/2006/relationships/hyperlink" Target="https://herhoopstats.com/stats/wnba/player/dominique-malonga-stats-11f02f7c-f051-55c0-be47-12df17ae4e1e/" TargetMode="External"/><Relationship Id="rId110" Type="http://schemas.openxmlformats.org/officeDocument/2006/relationships/hyperlink" Target="https://herhoopstats.com/stats/wnba/player/sydney-colson-stats-11eaecc7-3c47-1c7e-b611-2362f5011b0b/" TargetMode="External"/><Relationship Id="rId115" Type="http://schemas.openxmlformats.org/officeDocument/2006/relationships/hyperlink" Target="https://herhoopstats.com/stats/wnba/player/sug-sutton-stats-11eaecc7-3fc3-9d96-b611-2362f5011b0b/" TargetMode="External"/><Relationship Id="rId131" Type="http://schemas.openxmlformats.org/officeDocument/2006/relationships/hyperlink" Target="https://herhoopstats.com/stats/wnba/player/bridget-carleton-stats-11eaecc7-4863-dea2-b611-2362f5011b0b/" TargetMode="External"/><Relationship Id="rId136" Type="http://schemas.openxmlformats.org/officeDocument/2006/relationships/hyperlink" Target="https://herhoopstats.com/stats/wnba/player/natisha-hiedeman-stats-11eaecc7-3d72-bd2e-b611-2362f5011b0b/" TargetMode="External"/><Relationship Id="rId157" Type="http://schemas.openxmlformats.org/officeDocument/2006/relationships/hyperlink" Target="https://herhoopstats.com/stats/wnba/player/dijonai-carrington-stats-11ebb4ec-f0ba-a8e0-9a0e-12df17ae4e1e/" TargetMode="External"/><Relationship Id="rId178" Type="http://schemas.openxmlformats.org/officeDocument/2006/relationships/hyperlink" Target="https://herhoopstats.com/stats/wnba/player/gabby-williams-stats-11eaecc7-3c73-5668-b611-2362f5011b0b/" TargetMode="External"/><Relationship Id="rId61" Type="http://schemas.openxmlformats.org/officeDocument/2006/relationships/hyperlink" Target="https://herhoopstats.com/stats/wnba/player/makayla-timpson-stats-11f02f7c-e518-6590-be47-12df17ae4e1e/" TargetMode="External"/><Relationship Id="rId82" Type="http://schemas.openxmlformats.org/officeDocument/2006/relationships/hyperlink" Target="https://herhoopstats.com/stats/wnba/player/rickea-jackson-stats-11edf6b9-7f4f-064a-94f3-024276bea302/" TargetMode="External"/><Relationship Id="rId152" Type="http://schemas.openxmlformats.org/officeDocument/2006/relationships/hyperlink" Target="https://herhoopstats.com/stats/wnba/player/nneka-ogwumike-stats-11eaecc7-46d2-8ba6-b611-2362f5011b0b/" TargetMode="External"/><Relationship Id="rId173" Type="http://schemas.openxmlformats.org/officeDocument/2006/relationships/hyperlink" Target="https://herhoopstats.com/stats/wnba/player/alyssa-thomas-stats-11eaecc7-3dc1-cb58-b611-2362f5011b0b/" TargetMode="External"/><Relationship Id="rId19" Type="http://schemas.openxmlformats.org/officeDocument/2006/relationships/hyperlink" Target="https://herhoopstats.com/stats/wnba/player/grace-berger-stats-11edf6b6-b027-5a2c-bd52-024276bea302/" TargetMode="External"/><Relationship Id="rId14" Type="http://schemas.openxmlformats.org/officeDocument/2006/relationships/hyperlink" Target="https://herhoopstats.com/stats/wnba/player/bree-hall-stats-11f02f7d-1d09-c69c-be47-12df17ae4e1e/" TargetMode="External"/><Relationship Id="rId30" Type="http://schemas.openxmlformats.org/officeDocument/2006/relationships/hyperlink" Target="https://herhoopstats.com/stats/wnba/player/iliana-rupert-stats-11ebb4ed-e4e2-cbb4-9185-12df17ae4e1e/" TargetMode="External"/><Relationship Id="rId35" Type="http://schemas.openxmlformats.org/officeDocument/2006/relationships/hyperlink" Target="https://herhoopstats.com/stats/wnba/player/jaelyn-brown-stats-11ef10cc-9bb6-cb32-b390-a0c589f521ca/" TargetMode="External"/><Relationship Id="rId56" Type="http://schemas.openxmlformats.org/officeDocument/2006/relationships/hyperlink" Target="https://herhoopstats.com/stats/wnba/player/jade-melbourne-stats-11eccc24-e5b5-6dfe-ba73-12df17ae4e1e/" TargetMode="External"/><Relationship Id="rId77" Type="http://schemas.openxmlformats.org/officeDocument/2006/relationships/hyperlink" Target="https://herhoopstats.com/stats/wnba/player/saniya-rivers-stats-11f02f7c-dfcf-7682-be47-12df17ae4e1e/" TargetMode="External"/><Relationship Id="rId100" Type="http://schemas.openxmlformats.org/officeDocument/2006/relationships/hyperlink" Target="https://herhoopstats.com/stats/wnba/player/diamond-miller-stats-11edf6b7-24a6-b29e-b638-024276bea302/" TargetMode="External"/><Relationship Id="rId105" Type="http://schemas.openxmlformats.org/officeDocument/2006/relationships/hyperlink" Target="https://herhoopstats.com/stats/wnba/player/brianna-turner-stats-11eaecc7-490d-f3ba-b611-2362f5011b0b/" TargetMode="External"/><Relationship Id="rId126" Type="http://schemas.openxmlformats.org/officeDocument/2006/relationships/hyperlink" Target="https://herhoopstats.com/stats/wnba/player/monique-billings-stats-11eaecc7-4118-5344-b611-2362f5011b0b/" TargetMode="External"/><Relationship Id="rId147" Type="http://schemas.openxmlformats.org/officeDocument/2006/relationships/hyperlink" Target="https://herhoopstats.com/stats/wnba/player/courtney-williams-stats-11eaecc7-4166-152a-b611-2362f5011b0b/" TargetMode="External"/><Relationship Id="rId168" Type="http://schemas.openxmlformats.org/officeDocument/2006/relationships/hyperlink" Target="https://herhoopstats.com/stats/wnba/player/napheesa-collier-stats-11eaecc7-4753-2158-b611-2362f5011b0b/" TargetMode="External"/><Relationship Id="rId8" Type="http://schemas.openxmlformats.org/officeDocument/2006/relationships/hyperlink" Target="https://herhoopstats.com/stats/wnba/player/robyn-parks-stats-11edf5c8-5695-90c6-a962-024250b8c764/" TargetMode="External"/><Relationship Id="rId51" Type="http://schemas.openxmlformats.org/officeDocument/2006/relationships/hyperlink" Target="https://herhoopstats.com/stats/wnba/player/kathryn-westbeld-stats-11eaecc7-56aa-cdd6-b611-2362f5011b0b/" TargetMode="External"/><Relationship Id="rId72" Type="http://schemas.openxmlformats.org/officeDocument/2006/relationships/hyperlink" Target="https://herhoopstats.com/stats/wnba/player/sarah-ashlee-barker-stats-11f02f7c-f64e-13dc-be47-12df17ae4e1e/" TargetMode="External"/><Relationship Id="rId93" Type="http://schemas.openxmlformats.org/officeDocument/2006/relationships/hyperlink" Target="https://herhoopstats.com/stats/wnba/player/cheyenne-parker-tyus-stats-11eaecc7-3c5d-262c-b611-2362f5011b0b/" TargetMode="External"/><Relationship Id="rId98" Type="http://schemas.openxmlformats.org/officeDocument/2006/relationships/hyperlink" Target="https://herhoopstats.com/stats/wnba/player/olivia-nelson-ododa-stats-11eccc24-e97a-d49c-ba73-12df17ae4e1e/" TargetMode="External"/><Relationship Id="rId121" Type="http://schemas.openxmlformats.org/officeDocument/2006/relationships/hyperlink" Target="https://herhoopstats.com/stats/wnba/player/damiris-dantas-stats-11eaecc7-484f-953c-b611-2362f5011b0b/" TargetMode="External"/><Relationship Id="rId142" Type="http://schemas.openxmlformats.org/officeDocument/2006/relationships/hyperlink" Target="https://herhoopstats.com/stats/wnba/player/shatori-walker-kimbrough-stats-11eaecc7-48f9-7232-b611-2362f5011b0b/" TargetMode="External"/><Relationship Id="rId163" Type="http://schemas.openxmlformats.org/officeDocument/2006/relationships/hyperlink" Target="https://herhoopstats.com/stats/wnba/player/myisha-hines-allen-stats-11eaecc7-403b-32b6-b611-2362f5011b0b/" TargetMode="External"/><Relationship Id="rId3" Type="http://schemas.openxmlformats.org/officeDocument/2006/relationships/hyperlink" Target="https://herhoopstats.com/stats/wnba/player/alexis-prince-stats-11eaecea-d25c-b480-934f-8b50fcb63fde/" TargetMode="External"/><Relationship Id="rId25" Type="http://schemas.openxmlformats.org/officeDocument/2006/relationships/hyperlink" Target="https://herhoopstats.com/stats/wnba/player/sevgi-uzun-stats-11ef10cc-9e7f-3750-b390-a0c589f521ca/" TargetMode="External"/><Relationship Id="rId46" Type="http://schemas.openxmlformats.org/officeDocument/2006/relationships/hyperlink" Target="https://herhoopstats.com/stats/wnba/player/jj-quinerly-stats-11f02f7c-fe1e-2318-be47-12df17ae4e1e/" TargetMode="External"/><Relationship Id="rId67" Type="http://schemas.openxmlformats.org/officeDocument/2006/relationships/hyperlink" Target="https://herhoopstats.com/stats/wnba/player/sania-feagin-stats-11f02f7c-f432-2052-be47-12df17ae4e1e/" TargetMode="External"/><Relationship Id="rId116" Type="http://schemas.openxmlformats.org/officeDocument/2006/relationships/hyperlink" Target="https://herhoopstats.com/stats/wnba/player/rachel-banham-stats-11eaecc7-4768-4542-b611-2362f5011b0b/" TargetMode="External"/><Relationship Id="rId137" Type="http://schemas.openxmlformats.org/officeDocument/2006/relationships/hyperlink" Target="https://herhoopstats.com/stats/wnba/player/rae-burrell-stats-11eccc24-e8e2-4dc6-ba73-12df17ae4e1e/" TargetMode="External"/><Relationship Id="rId158" Type="http://schemas.openxmlformats.org/officeDocument/2006/relationships/hyperlink" Target="https://herhoopstats.com/stats/wnba/player/natasha-cloud-stats-11eaecc7-40c5-e9b0-b611-2362f5011b0b/" TargetMode="External"/><Relationship Id="rId20" Type="http://schemas.openxmlformats.org/officeDocument/2006/relationships/hyperlink" Target="https://herhoopstats.com/stats/wnba/player/joyner-holmes-stats-11eaecc7-4295-57a8-b611-2362f5011b0b/" TargetMode="External"/><Relationship Id="rId41" Type="http://schemas.openxmlformats.org/officeDocument/2006/relationships/hyperlink" Target="https://herhoopstats.com/stats/wnba/player/odyssey-sims-stats-11eaecc7-47f4-5ece-b611-2362f5011b0b/" TargetMode="External"/><Relationship Id="rId62" Type="http://schemas.openxmlformats.org/officeDocument/2006/relationships/hyperlink" Target="https://herhoopstats.com/stats/wnba/player/lucy-olsen-stats-11f02f7c-e707-d91c-be47-12df17ae4e1e/" TargetMode="External"/><Relationship Id="rId83" Type="http://schemas.openxmlformats.org/officeDocument/2006/relationships/hyperlink" Target="https://herhoopstats.com/stats/wnba/player/cameron-brink-stats-11ef10cc-784e-bd94-b390-a0c589f521ca/" TargetMode="External"/><Relationship Id="rId88" Type="http://schemas.openxmlformats.org/officeDocument/2006/relationships/hyperlink" Target="https://herhoopstats.com/stats/wnba/player/jessica-shepard-stats-11eaeccf-b7c3-8d44-abdf-1f3cc36cb6a8/" TargetMode="External"/><Relationship Id="rId111" Type="http://schemas.openxmlformats.org/officeDocument/2006/relationships/hyperlink" Target="https://herhoopstats.com/stats/wnba/player/lindsay-allen-stats-11eaecc7-4524-d8d6-b611-2362f5011b0b/" TargetMode="External"/><Relationship Id="rId132" Type="http://schemas.openxmlformats.org/officeDocument/2006/relationships/hyperlink" Target="https://herhoopstats.com/stats/wnba/player/sami-whitcomb-stats-11eaecc7-442e-6f32-b611-2362f5011b0b/" TargetMode="External"/><Relationship Id="rId153" Type="http://schemas.openxmlformats.org/officeDocument/2006/relationships/hyperlink" Target="https://herhoopstats.com/stats/wnba/player/azura-stevens-stats-11eaecc7-3c1a-6f26-b611-2362f5011b0b/" TargetMode="External"/><Relationship Id="rId174" Type="http://schemas.openxmlformats.org/officeDocument/2006/relationships/hyperlink" Target="https://herhoopstats.com/stats/wnba/player/satou-sabally-stats-11eaecc7-4a3c-a22c-b611-2362f5011b0b/" TargetMode="External"/><Relationship Id="rId179" Type="http://schemas.openxmlformats.org/officeDocument/2006/relationships/hyperlink" Target="https://herhoopstats.com/stats/wnba/player/kahleah-copper-stats-11eaecc7-3c89-9b3a-b611-2362f5011b0b/" TargetMode="External"/><Relationship Id="rId15" Type="http://schemas.openxmlformats.org/officeDocument/2006/relationships/hyperlink" Target="https://herhoopstats.com/stats/wnba/player/shey-peddy-stats-11eaecc7-494a-ffbc-b611-2362f5011b0b/" TargetMode="External"/><Relationship Id="rId36" Type="http://schemas.openxmlformats.org/officeDocument/2006/relationships/hyperlink" Target="https://herhoopstats.com/stats/wnba/player/mackenzie-holmes-stats-11edf6b9-16cb-e6f6-94f3-024276bea302/" TargetMode="External"/><Relationship Id="rId57" Type="http://schemas.openxmlformats.org/officeDocument/2006/relationships/hyperlink" Target="https://herhoopstats.com/stats/wnba/player/sika-kone-stats-11eccc24-e412-3400-ba73-12df17ae4e1e/" TargetMode="External"/><Relationship Id="rId106" Type="http://schemas.openxmlformats.org/officeDocument/2006/relationships/hyperlink" Target="https://herhoopstats.com/stats/wnba/player/yvonne-anderson-stats-11eccc24-de9c-6ce8-ba73-12df17ae4e1e/" TargetMode="External"/><Relationship Id="rId127" Type="http://schemas.openxmlformats.org/officeDocument/2006/relationships/hyperlink" Target="https://herhoopstats.com/stats/wnba/player/natasha-mack-stats-11ebb4ed-de81-5470-9185-12df17ae4e1e/" TargetMode="External"/><Relationship Id="rId10" Type="http://schemas.openxmlformats.org/officeDocument/2006/relationships/hyperlink" Target="https://herhoopstats.com/stats/wnba/player/camryn-taylor-stats-11ef10cc-bdd9-895c-b390-a0c589f521ca/" TargetMode="External"/><Relationship Id="rId31" Type="http://schemas.openxmlformats.org/officeDocument/2006/relationships/hyperlink" Target="https://herhoopstats.com/stats/wnba/player/haley-jones-stats-11edf6b6-e860-374c-b638-024276bea302/" TargetMode="External"/><Relationship Id="rId52" Type="http://schemas.openxmlformats.org/officeDocument/2006/relationships/hyperlink" Target="https://herhoopstats.com/stats/wnba/player/marine-johannes-stats-11eaecd2-ab0f-a4fe-90cd-31ee0f3687c8/" TargetMode="External"/><Relationship Id="rId73" Type="http://schemas.openxmlformats.org/officeDocument/2006/relationships/hyperlink" Target="https://herhoopstats.com/stats/wnba/player/hailey-van-lith-stats-11f02f7c-dd6b-9970-be47-12df17ae4e1e/" TargetMode="External"/><Relationship Id="rId78" Type="http://schemas.openxmlformats.org/officeDocument/2006/relationships/hyperlink" Target="https://herhoopstats.com/stats/wnba/player/aneesah-morrow-stats-11f02f7c-e0c1-917e-be47-12df17ae4e1e/" TargetMode="External"/><Relationship Id="rId94" Type="http://schemas.openxmlformats.org/officeDocument/2006/relationships/hyperlink" Target="https://herhoopstats.com/stats/wnba/player/nyara-sabally-stats-11eccc24-e3fa-ac7c-ba73-12df17ae4e1e/" TargetMode="External"/><Relationship Id="rId99" Type="http://schemas.openxmlformats.org/officeDocument/2006/relationships/hyperlink" Target="https://herhoopstats.com/stats/wnba/player/emily-engstler-stats-11eccc24-e012-94c6-ba73-12df17ae4e1e/" TargetMode="External"/><Relationship Id="rId101" Type="http://schemas.openxmlformats.org/officeDocument/2006/relationships/hyperlink" Target="https://herhoopstats.com/stats/wnba/player/aliyah-boston-stats-11edf6b6-b45b-5788-bd52-024276bea302/" TargetMode="External"/><Relationship Id="rId122" Type="http://schemas.openxmlformats.org/officeDocument/2006/relationships/hyperlink" Target="https://herhoopstats.com/stats/wnba/player/elizabeth-williams-stats-11eaecc7-41b7-b3da-b611-2362f5011b0b/" TargetMode="External"/><Relationship Id="rId143" Type="http://schemas.openxmlformats.org/officeDocument/2006/relationships/hyperlink" Target="https://herhoopstats.com/stats/wnba/player/rebecca-allen-stats-11eaecc7-42d4-5c28-b611-2362f5011b0b/" TargetMode="External"/><Relationship Id="rId148" Type="http://schemas.openxmlformats.org/officeDocument/2006/relationships/hyperlink" Target="https://herhoopstats.com/stats/wnba/player/courtney-vandersloot-stats-11eaecc7-3ce0-75a4-b611-2362f5011b0b/" TargetMode="External"/><Relationship Id="rId164" Type="http://schemas.openxmlformats.org/officeDocument/2006/relationships/hyperlink" Target="https://herhoopstats.com/stats/wnba/player/kayla-mcbride-stats-11eaecc7-4574-a37a-b611-2362f5011b0b/" TargetMode="External"/><Relationship Id="rId169" Type="http://schemas.openxmlformats.org/officeDocument/2006/relationships/hyperlink" Target="https://herhoopstats.com/stats/wnba/player/brionna-jones-stats-11eaecc7-3e39-3166-b611-2362f5011b0b/" TargetMode="External"/><Relationship Id="rId4" Type="http://schemas.openxmlformats.org/officeDocument/2006/relationships/hyperlink" Target="https://herhoopstats.com/stats/wnba/player/serena-sundell-stats-11f02f7c-f120-b11c-be47-12df17ae4e1e/" TargetMode="External"/><Relationship Id="rId9" Type="http://schemas.openxmlformats.org/officeDocument/2006/relationships/hyperlink" Target="https://herhoopstats.com/stats/wnba/player/madison-scott-stats-11f02f7d-44ac-14fc-be47-12df17ae4e1e/" TargetMode="External"/><Relationship Id="rId180" Type="http://schemas.openxmlformats.org/officeDocument/2006/relationships/hyperlink" Target="https://herhoopstats.com/stats/wnba/player/jewell-loyd-stats-11eaecc7-4392-1cfe-b611-2362f5011b0b/" TargetMode="External"/><Relationship Id="rId26" Type="http://schemas.openxmlformats.org/officeDocument/2006/relationships/hyperlink" Target="https://herhoopstats.com/stats/wnba/player/kariata-diaby-stats-11f02f7c-e20c-8f16-be47-12df17ae4e1e/" TargetMode="External"/><Relationship Id="rId47" Type="http://schemas.openxmlformats.org/officeDocument/2006/relationships/hyperlink" Target="https://herhoopstats.com/stats/wnba/player/taylor-thierry-stats-11f02f7c-e95a-f73a-be47-12df17ae4e1e/" TargetMode="External"/><Relationship Id="rId68" Type="http://schemas.openxmlformats.org/officeDocument/2006/relationships/hyperlink" Target="https://herhoopstats.com/stats/wnba/player/dewanna-bonner-stats-11eaecc7-3e11-0a92-b611-2362f5011b0b/" TargetMode="External"/><Relationship Id="rId89" Type="http://schemas.openxmlformats.org/officeDocument/2006/relationships/hyperlink" Target="https://herhoopstats.com/stats/wnba/player/erica-wheeler-stats-11eaecc7-3eb3-dfc4-b611-2362f5011b0b/" TargetMode="External"/><Relationship Id="rId112" Type="http://schemas.openxmlformats.org/officeDocument/2006/relationships/hyperlink" Target="https://herhoopstats.com/stats/wnba/player/rhyne-howard-stats-11eccc24-e32a-8af6-ba73-12df17ae4e1e/" TargetMode="External"/><Relationship Id="rId133" Type="http://schemas.openxmlformats.org/officeDocument/2006/relationships/hyperlink" Target="https://herhoopstats.com/stats/wnba/player/stephanie-talbot-stats-11eaeccf-b78e-5ec6-abdf-1f3cc36cb6a8/" TargetMode="External"/><Relationship Id="rId154" Type="http://schemas.openxmlformats.org/officeDocument/2006/relationships/hyperlink" Target="https://herhoopstats.com/stats/wnba/player/brittney-sykes-stats-11eaecc7-45e2-de26-b611-2362f5011b0b/" TargetMode="External"/><Relationship Id="rId175" Type="http://schemas.openxmlformats.org/officeDocument/2006/relationships/hyperlink" Target="https://herhoopstats.com/stats/wnba/player/sabrina-ionescu-stats-11eaecc7-425a-0c5c-b611-2362f5011b0b/" TargetMode="External"/><Relationship Id="rId16" Type="http://schemas.openxmlformats.org/officeDocument/2006/relationships/hyperlink" Target="https://herhoopstats.com/stats/wnba/player/kyara-linskens-stats-11f02f7c-ffb9-e3ba-be47-12df17ae4e1e/" TargetMode="External"/><Relationship Id="rId37" Type="http://schemas.openxmlformats.org/officeDocument/2006/relationships/hyperlink" Target="https://herhoopstats.com/stats/wnba/player/kaitlyn-chen-stats-11f02f7c-fffc-c0ae-be47-12df17ae4e1e/" TargetMode="External"/><Relationship Id="rId58" Type="http://schemas.openxmlformats.org/officeDocument/2006/relationships/hyperlink" Target="https://herhoopstats.com/stats/wnba/player/leonie-fiebich-stats-11ebb4ed-eb83-26a8-9185-12df17ae4e1e/" TargetMode="External"/><Relationship Id="rId79" Type="http://schemas.openxmlformats.org/officeDocument/2006/relationships/hyperlink" Target="https://herhoopstats.com/stats/wnba/player/emma-meesseman-stats-11eaecc7-4013-10ce-b611-2362f5011b0b/" TargetMode="External"/><Relationship Id="rId102" Type="http://schemas.openxmlformats.org/officeDocument/2006/relationships/hyperlink" Target="https://herhoopstats.com/stats/wnba/player/maddy-siegrist-stats-11edf6b8-48ca-b2aa-ae8b-024276bea302/" TargetMode="External"/><Relationship Id="rId123" Type="http://schemas.openxmlformats.org/officeDocument/2006/relationships/hyperlink" Target="https://herhoopstats.com/stats/wnba/player/tyasha-harris-stats-11eaecc7-4ab8-418e-b611-2362f5011b0b/" TargetMode="External"/><Relationship Id="rId144" Type="http://schemas.openxmlformats.org/officeDocument/2006/relationships/hyperlink" Target="https://herhoopstats.com/stats/wnba/player/jackie-young-stats-11eaecc7-44e8-b55e-b611-2362f5011b0b/" TargetMode="External"/><Relationship Id="rId90" Type="http://schemas.openxmlformats.org/officeDocument/2006/relationships/hyperlink" Target="https://herhoopstats.com/stats/wnba/player/kennedy-burke-stats-11eaecc7-3e77-0608-b611-2362f5011b0b/" TargetMode="External"/><Relationship Id="rId165" Type="http://schemas.openxmlformats.org/officeDocument/2006/relationships/hyperlink" Target="https://herhoopstats.com/stats/wnba/player/alysha-clark-stats-11eaecc7-4468-8e38-b611-2362f5011b0b/" TargetMode="External"/><Relationship Id="rId27" Type="http://schemas.openxmlformats.org/officeDocument/2006/relationships/hyperlink" Target="https://herhoopstats.com/stats/wnba/player/elizabeth-kitley-stats-11f02f7c-f23d-6f0e-be47-12df17ae4e1e/" TargetMode="External"/><Relationship Id="rId48" Type="http://schemas.openxmlformats.org/officeDocument/2006/relationships/hyperlink" Target="https://herhoopstats.com/stats/wnba/player/julie-vanloo-stats-11ef10cc-406a-16f8-b390-a0c589f521ca/" TargetMode="External"/><Relationship Id="rId69" Type="http://schemas.openxmlformats.org/officeDocument/2006/relationships/hyperlink" Target="https://herhoopstats.com/stats/wnba/player/leila-lacan-stats-11ef10cc-29f7-341e-b390-a0c589f521ca/" TargetMode="External"/><Relationship Id="rId113" Type="http://schemas.openxmlformats.org/officeDocument/2006/relationships/hyperlink" Target="https://herhoopstats.com/stats/wnba/player/nalyssa-smith-stats-11eccc24-dfe7-b4e0-ba73-12df17ae4e1e/" TargetMode="External"/><Relationship Id="rId134" Type="http://schemas.openxmlformats.org/officeDocument/2006/relationships/hyperlink" Target="https://herhoopstats.com/stats/wnba/player/kalani-brown-stats-11eaecc7-418d-e50a-b611-2362f5011b0b/" TargetMode="External"/><Relationship Id="rId80" Type="http://schemas.openxmlformats.org/officeDocument/2006/relationships/hyperlink" Target="https://herhoopstats.com/stats/wnba/player/caitlin-clark-stats-11ef10cc-36c4-18e2-b390-a0c589f521ca/" TargetMode="External"/><Relationship Id="rId155" Type="http://schemas.openxmlformats.org/officeDocument/2006/relationships/hyperlink" Target="https://herhoopstats.com/stats/wnba/player/chelsea-gray-stats-11eaecc7-46a9-5f74-b611-2362f5011b0b/" TargetMode="External"/><Relationship Id="rId176" Type="http://schemas.openxmlformats.org/officeDocument/2006/relationships/hyperlink" Target="https://herhoopstats.com/stats/wnba/player/breanna-stewart-stats-11eaecc7-4406-bae6-b611-2362f5011b0b/" TargetMode="External"/><Relationship Id="rId17" Type="http://schemas.openxmlformats.org/officeDocument/2006/relationships/hyperlink" Target="https://herhoopstats.com/stats/wnba/player/crystal-bradford-stats-11eaecc7-5db3-2042-b611-2362f5011b0b/" TargetMode="External"/><Relationship Id="rId38" Type="http://schemas.openxmlformats.org/officeDocument/2006/relationships/hyperlink" Target="https://herhoopstats.com/stats/wnba/player/aari-mcdonald-stats-11ebb4ec-f33d-5a86-9a0e-12df17ae4e1e/" TargetMode="External"/><Relationship Id="rId59" Type="http://schemas.openxmlformats.org/officeDocument/2006/relationships/hyperlink" Target="https://herhoopstats.com/stats/wnba/player/kate-martin-stats-11ef127a-7161-ffc8-90e5-12df17ae4e1e/" TargetMode="External"/><Relationship Id="rId103" Type="http://schemas.openxmlformats.org/officeDocument/2006/relationships/hyperlink" Target="https://herhoopstats.com/stats/wnba/player/kierstan-bell-stats-11eccc24-e714-46e8-ba73-12df17ae4e1e/" TargetMode="External"/><Relationship Id="rId124" Type="http://schemas.openxmlformats.org/officeDocument/2006/relationships/hyperlink" Target="https://herhoopstats.com/stats/wnba/player/kiah-stokes-stats-11eaecc7-4349-4682-b611-2362f5011b0b/" TargetMode="External"/><Relationship Id="rId70" Type="http://schemas.openxmlformats.org/officeDocument/2006/relationships/hyperlink" Target="https://herhoopstats.com/stats/wnba/player/carla-leite-stats-11ef10cc-9a1c-0008-b390-a0c589f521ca/" TargetMode="External"/><Relationship Id="rId91" Type="http://schemas.openxmlformats.org/officeDocument/2006/relationships/hyperlink" Target="https://herhoopstats.com/stats/wnba/player/isabelle-harrison-stats-11eaecc7-49ff-d5ae-b611-2362f5011b0b/" TargetMode="External"/><Relationship Id="rId145" Type="http://schemas.openxmlformats.org/officeDocument/2006/relationships/hyperlink" Target="https://herhoopstats.com/stats/wnba/player/tina-charles-stats-11eaecc7-3fff-1632-b611-2362f5011b0b/" TargetMode="External"/><Relationship Id="rId166" Type="http://schemas.openxmlformats.org/officeDocument/2006/relationships/hyperlink" Target="https://herhoopstats.com/stats/wnba/player/jonquel-jones-stats-11eaecc7-3dd5-8260-b611-2362f5011b0b/" TargetMode="External"/><Relationship Id="rId1" Type="http://schemas.openxmlformats.org/officeDocument/2006/relationships/hyperlink" Target="https://herhoopstats.com/stats/wnba/player/ajae-petty-stats-11f02f7d-4427-283c-be47-12df17ae4e1e/" TargetMode="External"/><Relationship Id="rId28" Type="http://schemas.openxmlformats.org/officeDocument/2006/relationships/hyperlink" Target="https://herhoopstats.com/stats/wnba/player/murjanatu-musa-stats-11f02f7c-fba8-53ce-be47-12df17ae4e1e/" TargetMode="External"/><Relationship Id="rId49" Type="http://schemas.openxmlformats.org/officeDocument/2006/relationships/hyperlink" Target="https://herhoopstats.com/stats/wnba/player/monique-akoa-makani-stats-11f02f7c-faac-246e-be47-12df17ae4e1e/" TargetMode="External"/><Relationship Id="rId114" Type="http://schemas.openxmlformats.org/officeDocument/2006/relationships/hyperlink" Target="https://herhoopstats.com/stats/wnba/player/shakira-austin-stats-11eccc24-e1d4-db84-ba73-12df17ae4e1e/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herhoopstats.com/stats/wnba/player/jacy-sheldon-stats-11edf6b8-c31e-094e-94f3-024276bea302/" TargetMode="External"/><Relationship Id="rId21" Type="http://schemas.openxmlformats.org/officeDocument/2006/relationships/hyperlink" Target="https://herhoopstats.com/stats/wnba/player/aari-mcdonald-stats-11ebb4ec-f33d-5a86-9a0e-12df17ae4e1e/" TargetMode="External"/><Relationship Id="rId42" Type="http://schemas.openxmlformats.org/officeDocument/2006/relationships/hyperlink" Target="https://herhoopstats.com/stats/wnba/player/aerial-powers-stats-11eaecc7-404e-cc36-b611-2362f5011b0b/" TargetMode="External"/><Relationship Id="rId63" Type="http://schemas.openxmlformats.org/officeDocument/2006/relationships/hyperlink" Target="https://herhoopstats.com/stats/wnba/player/sevgi-uzun-stats-11ef10cc-9e7f-3750-b390-a0c589f521ca/" TargetMode="External"/><Relationship Id="rId84" Type="http://schemas.openxmlformats.org/officeDocument/2006/relationships/hyperlink" Target="https://herhoopstats.com/stats/wnba/player/li-yueru-stats-11eaecc7-58ac-1f54-b611-2362f5011b0b/" TargetMode="External"/><Relationship Id="rId138" Type="http://schemas.openxmlformats.org/officeDocument/2006/relationships/hyperlink" Target="https://herhoopstats.com/stats/wnba/player/kitija-laksa-stats-11ebb4ed-e647-d968-9185-12df17ae4e1e/" TargetMode="External"/><Relationship Id="rId159" Type="http://schemas.openxmlformats.org/officeDocument/2006/relationships/hyperlink" Target="https://herhoopstats.com/stats/wnba/player/sug-sutton-stats-11eaecc7-3fc3-9d96-b611-2362f5011b0b/" TargetMode="External"/><Relationship Id="rId170" Type="http://schemas.openxmlformats.org/officeDocument/2006/relationships/hyperlink" Target="https://herhoopstats.com/stats/wnba/player/veronica-burton-stats-11eccc24-ee6e-08f2-ba73-12df17ae4e1e/" TargetMode="External"/><Relationship Id="rId191" Type="http://schemas.openxmlformats.org/officeDocument/2006/relationships/hyperlink" Target="https://herhoopstats.com/stats/wnba/player/stefanie-dolson-stats-11eaecc7-3c9e-9f12-b611-2362f5011b0b/" TargetMode="External"/><Relationship Id="rId205" Type="http://schemas.openxmlformats.org/officeDocument/2006/relationships/hyperlink" Target="https://herhoopstats.com/stats/wnba/player/teaira-mccowan-stats-11eaecc7-3f66-c81e-b611-2362f5011b0b/" TargetMode="External"/><Relationship Id="rId226" Type="http://schemas.openxmlformats.org/officeDocument/2006/relationships/hyperlink" Target="https://herhoopstats.com/stats/wnba/player/arike-ogunbowale-stats-11eaecc7-4acc-6038-b611-2362f5011b0b/" TargetMode="External"/><Relationship Id="rId107" Type="http://schemas.openxmlformats.org/officeDocument/2006/relationships/hyperlink" Target="https://herhoopstats.com/stats/wnba/player/anastasiia-olairi-kosu-stats-11f02f7c-f85f-aece-be47-12df17ae4e1e/" TargetMode="External"/><Relationship Id="rId11" Type="http://schemas.openxmlformats.org/officeDocument/2006/relationships/hyperlink" Target="https://herhoopstats.com/stats/wnba/player/marquesha-davis-stats-11ef10cc-5bb7-1a28-b390-a0c589f521ca/" TargetMode="External"/><Relationship Id="rId32" Type="http://schemas.openxmlformats.org/officeDocument/2006/relationships/hyperlink" Target="https://herhoopstats.com/stats/wnba/player/chloe-bibby-stats-11eccc25-0650-0d58-ba73-12df17ae4e1e/" TargetMode="External"/><Relationship Id="rId53" Type="http://schemas.openxmlformats.org/officeDocument/2006/relationships/hyperlink" Target="https://herhoopstats.com/stats/wnba/player/sika-kone-stats-11eccc24-e412-3400-ba73-12df17ae4e1e/" TargetMode="External"/><Relationship Id="rId74" Type="http://schemas.openxmlformats.org/officeDocument/2006/relationships/hyperlink" Target="https://herhoopstats.com/stats/wnba/player/tiffany-mitchell-stats-11eaecc7-3e8b-a5c2-b611-2362f5011b0b/" TargetMode="External"/><Relationship Id="rId128" Type="http://schemas.openxmlformats.org/officeDocument/2006/relationships/hyperlink" Target="https://herhoopstats.com/stats/wnba/player/sonia-citron-stats-11f02f7c-e6c3-79b6-be47-12df17ae4e1e/" TargetMode="External"/><Relationship Id="rId149" Type="http://schemas.openxmlformats.org/officeDocument/2006/relationships/hyperlink" Target="https://herhoopstats.com/stats/wnba/player/yvonne-anderson-stats-11eccc24-de9c-6ce8-ba73-12df17ae4e1e/" TargetMode="External"/><Relationship Id="rId5" Type="http://schemas.openxmlformats.org/officeDocument/2006/relationships/hyperlink" Target="https://herhoopstats.com/stats/wnba/player/shey-peddy-stats-11eaecc7-494a-ffbc-b611-2362f5011b0b/" TargetMode="External"/><Relationship Id="rId95" Type="http://schemas.openxmlformats.org/officeDocument/2006/relationships/hyperlink" Target="https://herhoopstats.com/stats/wnba/player/luisa-geiselsoder-stats-11ebb4ed-e38e-c0a6-9185-12df17ae4e1e/" TargetMode="External"/><Relationship Id="rId160" Type="http://schemas.openxmlformats.org/officeDocument/2006/relationships/hyperlink" Target="https://herhoopstats.com/stats/wnba/player/rachel-banham-stats-11eaecc7-4768-4542-b611-2362f5011b0b/" TargetMode="External"/><Relationship Id="rId181" Type="http://schemas.openxmlformats.org/officeDocument/2006/relationships/hyperlink" Target="https://herhoopstats.com/stats/wnba/player/natisha-hiedeman-stats-11eaecc7-3d72-bd2e-b611-2362f5011b0b/" TargetMode="External"/><Relationship Id="rId216" Type="http://schemas.openxmlformats.org/officeDocument/2006/relationships/hyperlink" Target="https://herhoopstats.com/stats/wnba/player/natasha-howard-stats-11eaecc7-43d0-ecb8-b611-2362f5011b0b/" TargetMode="External"/><Relationship Id="rId22" Type="http://schemas.openxmlformats.org/officeDocument/2006/relationships/hyperlink" Target="https://herhoopstats.com/stats/wnba/player/christyn-williams-stats-11eccc25-118b-199c-ba73-12df17ae4e1e/" TargetMode="External"/><Relationship Id="rId43" Type="http://schemas.openxmlformats.org/officeDocument/2006/relationships/hyperlink" Target="https://herhoopstats.com/stats/wnba/player/mari%C3%A8me-badiane-stats-11f02f7c-f7b3-f732-be47-12df17ae4e1e/" TargetMode="External"/><Relationship Id="rId64" Type="http://schemas.openxmlformats.org/officeDocument/2006/relationships/hyperlink" Target="https://herhoopstats.com/stats/wnba/player/kariata-diaby-stats-11f02f7c-e20c-8f16-be47-12df17ae4e1e/" TargetMode="External"/><Relationship Id="rId118" Type="http://schemas.openxmlformats.org/officeDocument/2006/relationships/hyperlink" Target="https://herhoopstats.com/stats/wnba/player/aaliyah-edwards-stats-11ef10cc-41e1-7ee0-b390-a0c589f521ca/" TargetMode="External"/><Relationship Id="rId139" Type="http://schemas.openxmlformats.org/officeDocument/2006/relationships/hyperlink" Target="https://herhoopstats.com/stats/wnba/player/mercedes-russell-stats-11eaecc7-43a5-dab4-b611-2362f5011b0b/" TargetMode="External"/><Relationship Id="rId85" Type="http://schemas.openxmlformats.org/officeDocument/2006/relationships/hyperlink" Target="https://herhoopstats.com/stats/wnba/player/maya-caldwell-stats-11ebb4ed-eaa5-71aa-9185-12df17ae4e1e/" TargetMode="External"/><Relationship Id="rId150" Type="http://schemas.openxmlformats.org/officeDocument/2006/relationships/hyperlink" Target="https://herhoopstats.com/stats/wnba/player/lexie-hull-stats-11eccc24-e0aa-8448-ba73-12df17ae4e1e/" TargetMode="External"/><Relationship Id="rId171" Type="http://schemas.openxmlformats.org/officeDocument/2006/relationships/hyperlink" Target="https://herhoopstats.com/stats/wnba/player/monique-billings-stats-11eaecc7-4118-5344-b611-2362f5011b0b/" TargetMode="External"/><Relationship Id="rId192" Type="http://schemas.openxmlformats.org/officeDocument/2006/relationships/hyperlink" Target="https://herhoopstats.com/stats/wnba/player/courtney-williams-stats-11eaecc7-4166-152a-b611-2362f5011b0b/" TargetMode="External"/><Relationship Id="rId206" Type="http://schemas.openxmlformats.org/officeDocument/2006/relationships/hyperlink" Target="https://herhoopstats.com/stats/wnba/player/kelsey-plum-stats-11eaecc7-44d4-ac1c-b611-2362f5011b0b/" TargetMode="External"/><Relationship Id="rId227" Type="http://schemas.openxmlformats.org/officeDocument/2006/relationships/hyperlink" Target="https://herhoopstats.com/stats/wnba/player/kelsey-mitchell-stats-11eaecc7-3f02-2418-b611-2362f5011b0b/" TargetMode="External"/><Relationship Id="rId12" Type="http://schemas.openxmlformats.org/officeDocument/2006/relationships/hyperlink" Target="https://herhoopstats.com/stats/wnba/player/elizabeth-kitley-stats-11f02f7c-f23d-6f0e-be47-12df17ae4e1e/" TargetMode="External"/><Relationship Id="rId33" Type="http://schemas.openxmlformats.org/officeDocument/2006/relationships/hyperlink" Target="https://herhoopstats.com/stats/wnba/player/alissa-pili-stats-11ef10cc-7ef5-9d5c-b390-a0c589f521ca/" TargetMode="External"/><Relationship Id="rId108" Type="http://schemas.openxmlformats.org/officeDocument/2006/relationships/hyperlink" Target="https://herhoopstats.com/stats/wnba/player/rayah-marshall-stats-11f02f7c-e2c0-87fa-be47-12df17ae4e1e/" TargetMode="External"/><Relationship Id="rId129" Type="http://schemas.openxmlformats.org/officeDocument/2006/relationships/hyperlink" Target="https://herhoopstats.com/stats/wnba/player/kiki-iriafen-stats-11f02f7c-e67f-3508-be47-12df17ae4e1e/" TargetMode="External"/><Relationship Id="rId54" Type="http://schemas.openxmlformats.org/officeDocument/2006/relationships/hyperlink" Target="https://herhoopstats.com/stats/wnba/player/crystal-bradford-stats-11eaecc7-5db3-2042-b611-2362f5011b0b/" TargetMode="External"/><Relationship Id="rId75" Type="http://schemas.openxmlformats.org/officeDocument/2006/relationships/hyperlink" Target="https://herhoopstats.com/stats/wnba/player/tiffany-mitchell-stats-11eaecc7-3e8b-a5c2-b611-2362f5011b0b/" TargetMode="External"/><Relationship Id="rId96" Type="http://schemas.openxmlformats.org/officeDocument/2006/relationships/hyperlink" Target="https://herhoopstats.com/stats/wnba/player/lexi-held-stats-11eccc25-0b10-079e-ba73-12df17ae4e1e/" TargetMode="External"/><Relationship Id="rId140" Type="http://schemas.openxmlformats.org/officeDocument/2006/relationships/hyperlink" Target="https://herhoopstats.com/stats/wnba/player/naz-hillmon-stats-11eccc24-e355-9750-ba73-12df17ae4e1e/" TargetMode="External"/><Relationship Id="rId161" Type="http://schemas.openxmlformats.org/officeDocument/2006/relationships/hyperlink" Target="https://herhoopstats.com/stats/wnba/player/katie-lou-samuelson-stats-11eaecc7-4a28-5100-b611-2362f5011b0b/" TargetMode="External"/><Relationship Id="rId182" Type="http://schemas.openxmlformats.org/officeDocument/2006/relationships/hyperlink" Target="https://herhoopstats.com/stats/wnba/player/rae-burrell-stats-11eccc24-e8e2-4dc6-ba73-12df17ae4e1e/" TargetMode="External"/><Relationship Id="rId217" Type="http://schemas.openxmlformats.org/officeDocument/2006/relationships/hyperlink" Target="https://herhoopstats.com/stats/wnba/player/brittney-griner-stats-11eaecc7-48bb-e0e8-b611-2362f5011b0b/" TargetMode="External"/><Relationship Id="rId6" Type="http://schemas.openxmlformats.org/officeDocument/2006/relationships/hyperlink" Target="https://herhoopstats.com/stats/wnba/player/ajae-petty-stats-11f02f7d-4427-283c-be47-12df17ae4e1e/" TargetMode="External"/><Relationship Id="rId23" Type="http://schemas.openxmlformats.org/officeDocument/2006/relationships/hyperlink" Target="https://herhoopstats.com/stats/wnba/player/kaila-charles-stats-11eaecc7-3dfd-1fdc-b611-2362f5011b0b/" TargetMode="External"/><Relationship Id="rId119" Type="http://schemas.openxmlformats.org/officeDocument/2006/relationships/hyperlink" Target="https://herhoopstats.com/stats/wnba/player/saniya-rivers-stats-11f02f7c-dfcf-7682-be47-12df17ae4e1e/" TargetMode="External"/><Relationship Id="rId44" Type="http://schemas.openxmlformats.org/officeDocument/2006/relationships/hyperlink" Target="https://herhoopstats.com/stats/wnba/player/kiana-williams-stats-11ebb4ec-f541-2736-9a0e-12df17ae4e1e/" TargetMode="External"/><Relationship Id="rId65" Type="http://schemas.openxmlformats.org/officeDocument/2006/relationships/hyperlink" Target="https://herhoopstats.com/stats/wnba/player/elizabeth-kitley-stats-11f02f7c-f23d-6f0e-be47-12df17ae4e1e/" TargetMode="External"/><Relationship Id="rId86" Type="http://schemas.openxmlformats.org/officeDocument/2006/relationships/hyperlink" Target="https://herhoopstats.com/stats/wnba/player/rebekah-gardner-stats-11eaecc7-58e4-2e8a-b611-2362f5011b0b/" TargetMode="External"/><Relationship Id="rId130" Type="http://schemas.openxmlformats.org/officeDocument/2006/relationships/hyperlink" Target="https://herhoopstats.com/stats/wnba/player/dominique-malonga-stats-11f02f7c-f051-55c0-be47-12df17ae4e1e/" TargetMode="External"/><Relationship Id="rId151" Type="http://schemas.openxmlformats.org/officeDocument/2006/relationships/hyperlink" Target="https://herhoopstats.com/stats/wnba/player/dana-evans-stats-11ebb4ec-f985-e052-9a0e-12df17ae4e1e/" TargetMode="External"/><Relationship Id="rId172" Type="http://schemas.openxmlformats.org/officeDocument/2006/relationships/hyperlink" Target="https://herhoopstats.com/stats/wnba/player/natasha-mack-stats-11ebb4ed-de81-5470-9185-12df17ae4e1e/" TargetMode="External"/><Relationship Id="rId193" Type="http://schemas.openxmlformats.org/officeDocument/2006/relationships/hyperlink" Target="https://herhoopstats.com/stats/wnba/player/courtney-vandersloot-stats-11eaecc7-3ce0-75a4-b611-2362f5011b0b/" TargetMode="External"/><Relationship Id="rId207" Type="http://schemas.openxmlformats.org/officeDocument/2006/relationships/hyperlink" Target="https://herhoopstats.com/stats/wnba/player/dearica-hamby-stats-11eaecc7-4510-aa3c-b611-2362f5011b0b/" TargetMode="External"/><Relationship Id="rId13" Type="http://schemas.openxmlformats.org/officeDocument/2006/relationships/hyperlink" Target="https://herhoopstats.com/stats/wnba/player/aerial-powers-stats-11eaecc7-404e-cc36-b611-2362f5011b0b/" TargetMode="External"/><Relationship Id="rId109" Type="http://schemas.openxmlformats.org/officeDocument/2006/relationships/hyperlink" Target="https://herhoopstats.com/stats/wnba/player/sania-feagin-stats-11f02f7c-f432-2052-be47-12df17ae4e1e/" TargetMode="External"/><Relationship Id="rId34" Type="http://schemas.openxmlformats.org/officeDocument/2006/relationships/hyperlink" Target="https://herhoopstats.com/stats/wnba/player/sevgi-uzun-stats-11ef10cc-9e7f-3750-b390-a0c589f521ca/" TargetMode="External"/><Relationship Id="rId55" Type="http://schemas.openxmlformats.org/officeDocument/2006/relationships/hyperlink" Target="https://herhoopstats.com/stats/wnba/player/liatu-king-stats-11f02f7d-2d73-639e-be47-12df17ae4e1e/" TargetMode="External"/><Relationship Id="rId76" Type="http://schemas.openxmlformats.org/officeDocument/2006/relationships/hyperlink" Target="https://herhoopstats.com/stats/wnba/player/jaelyn-brown-stats-11ef10cc-9bb6-cb32-b390-a0c589f521ca/" TargetMode="External"/><Relationship Id="rId97" Type="http://schemas.openxmlformats.org/officeDocument/2006/relationships/hyperlink" Target="https://herhoopstats.com/stats/wnba/player/zia-cooke-stats-11edf6b7-148b-5b94-b638-024276bea302/" TargetMode="External"/><Relationship Id="rId120" Type="http://schemas.openxmlformats.org/officeDocument/2006/relationships/hyperlink" Target="https://herhoopstats.com/stats/wnba/player/aneesah-morrow-stats-11f02f7c-e0c1-917e-be47-12df17ae4e1e/" TargetMode="External"/><Relationship Id="rId141" Type="http://schemas.openxmlformats.org/officeDocument/2006/relationships/hyperlink" Target="https://herhoopstats.com/stats/wnba/player/olivia-nelson-ododa-stats-11eccc24-e97a-d49c-ba73-12df17ae4e1e/" TargetMode="External"/><Relationship Id="rId7" Type="http://schemas.openxmlformats.org/officeDocument/2006/relationships/hyperlink" Target="https://herhoopstats.com/stats/wnba/player/amy-okonkwo-stats-11ebb4ed-e2df-a904-9185-12df17ae4e1e/" TargetMode="External"/><Relationship Id="rId162" Type="http://schemas.openxmlformats.org/officeDocument/2006/relationships/hyperlink" Target="https://herhoopstats.com/stats/wnba/player/lexie-brown-stats-11eaecc7-473e-e102-b611-2362f5011b0b/" TargetMode="External"/><Relationship Id="rId183" Type="http://schemas.openxmlformats.org/officeDocument/2006/relationships/hyperlink" Target="https://herhoopstats.com/stats/wnba/player/kia-nurse-stats-11eaecc7-4321-b31a-b611-2362f5011b0b/" TargetMode="External"/><Relationship Id="rId218" Type="http://schemas.openxmlformats.org/officeDocument/2006/relationships/hyperlink" Target="https://herhoopstats.com/stats/wnba/player/alyssa-thomas-stats-11eaecc7-3dc1-cb58-b611-2362f5011b0b/" TargetMode="External"/><Relationship Id="rId24" Type="http://schemas.openxmlformats.org/officeDocument/2006/relationships/hyperlink" Target="https://herhoopstats.com/stats/wnba/player/amy-okonkwo-stats-11ebb4ed-e2df-a904-9185-12df17ae4e1e/" TargetMode="External"/><Relationship Id="rId45" Type="http://schemas.openxmlformats.org/officeDocument/2006/relationships/hyperlink" Target="https://herhoopstats.com/stats/wnba/player/bree-hall-stats-11f02f7d-1d09-c69c-be47-12df17ae4e1e/" TargetMode="External"/><Relationship Id="rId66" Type="http://schemas.openxmlformats.org/officeDocument/2006/relationships/hyperlink" Target="https://herhoopstats.com/stats/wnba/player/murjanatu-musa-stats-11f02f7c-fba8-53ce-be47-12df17ae4e1e/" TargetMode="External"/><Relationship Id="rId87" Type="http://schemas.openxmlformats.org/officeDocument/2006/relationships/hyperlink" Target="https://herhoopstats.com/stats/wnba/player/jaylyn-sherrod-stats-11ef10cc-5d9a-e86a-b390-a0c589f521ca/" TargetMode="External"/><Relationship Id="rId110" Type="http://schemas.openxmlformats.org/officeDocument/2006/relationships/hyperlink" Target="https://herhoopstats.com/stats/wnba/player/dewanna-bonner-stats-11eaecc7-3e11-0a92-b611-2362f5011b0b/" TargetMode="External"/><Relationship Id="rId131" Type="http://schemas.openxmlformats.org/officeDocument/2006/relationships/hyperlink" Target="https://herhoopstats.com/stats/wnba/player/jessica-shepard-stats-11eaeccf-b7c3-8d44-abdf-1f3cc36cb6a8/" TargetMode="External"/><Relationship Id="rId152" Type="http://schemas.openxmlformats.org/officeDocument/2006/relationships/hyperlink" Target="https://herhoopstats.com/stats/wnba/player/temi-f%C3%A1gb%C3%A9nl%C3%A9-stats-11eaeccf-b7f8-167c-abdf-1f3cc36cb6a8/" TargetMode="External"/><Relationship Id="rId173" Type="http://schemas.openxmlformats.org/officeDocument/2006/relationships/hyperlink" Target="https://herhoopstats.com/stats/wnba/player/emma-cannon-stats-11eaecc7-4cfd-a63c-b611-2362f5011b0b/" TargetMode="External"/><Relationship Id="rId194" Type="http://schemas.openxmlformats.org/officeDocument/2006/relationships/hyperlink" Target="https://herhoopstats.com/stats/wnba/player/ezi-magbegor-stats-11eaecc7-441a-969c-b611-2362f5011b0b/" TargetMode="External"/><Relationship Id="rId208" Type="http://schemas.openxmlformats.org/officeDocument/2006/relationships/hyperlink" Target="https://herhoopstats.com/stats/wnba/player/myisha-hines-allen-stats-11eaecc7-403b-32b6-b611-2362f5011b0b/" TargetMode="External"/><Relationship Id="rId14" Type="http://schemas.openxmlformats.org/officeDocument/2006/relationships/hyperlink" Target="https://herhoopstats.com/stats/wnba/player/alexis-prince-stats-11eaecea-d25c-b480-934f-8b50fcb63fde/" TargetMode="External"/><Relationship Id="rId35" Type="http://schemas.openxmlformats.org/officeDocument/2006/relationships/hyperlink" Target="https://herhoopstats.com/stats/wnba/player/robyn-parks-stats-11edf5c8-5695-90c6-a962-024250b8c764/" TargetMode="External"/><Relationship Id="rId56" Type="http://schemas.openxmlformats.org/officeDocument/2006/relationships/hyperlink" Target="https://herhoopstats.com/stats/wnba/player/grace-berger-stats-11edf6b6-b027-5a2c-bd52-024276bea302/" TargetMode="External"/><Relationship Id="rId77" Type="http://schemas.openxmlformats.org/officeDocument/2006/relationships/hyperlink" Target="https://herhoopstats.com/stats/wnba/player/mackenzie-holmes-stats-11edf6b9-16cb-e6f6-94f3-024276bea302/" TargetMode="External"/><Relationship Id="rId100" Type="http://schemas.openxmlformats.org/officeDocument/2006/relationships/hyperlink" Target="https://herhoopstats.com/stats/wnba/player/leonie-fiebich-stats-11ebb4ed-eb83-26a8-9185-12df17ae4e1e/" TargetMode="External"/><Relationship Id="rId8" Type="http://schemas.openxmlformats.org/officeDocument/2006/relationships/hyperlink" Target="https://herhoopstats.com/stats/wnba/player/kyra-lambert-stats-11f07932-3df5-f5c0-8820-12df17ae4e1e/" TargetMode="External"/><Relationship Id="rId98" Type="http://schemas.openxmlformats.org/officeDocument/2006/relationships/hyperlink" Target="https://herhoopstats.com/stats/wnba/player/jade-melbourne-stats-11eccc24-e5b5-6dfe-ba73-12df17ae4e1e/" TargetMode="External"/><Relationship Id="rId121" Type="http://schemas.openxmlformats.org/officeDocument/2006/relationships/hyperlink" Target="https://herhoopstats.com/stats/wnba/player/georgia-amoore-stats-11f02f7c-e76e-d87e-be47-12df17ae4e1e/" TargetMode="External"/><Relationship Id="rId142" Type="http://schemas.openxmlformats.org/officeDocument/2006/relationships/hyperlink" Target="https://herhoopstats.com/stats/wnba/player/emily-engstler-stats-11eccc24-e012-94c6-ba73-12df17ae4e1e/" TargetMode="External"/><Relationship Id="rId163" Type="http://schemas.openxmlformats.org/officeDocument/2006/relationships/hyperlink" Target="https://herhoopstats.com/stats/wnba/player/megan-gustafson-stats-11eaecc7-4aa4-1740-b611-2362f5011b0b/" TargetMode="External"/><Relationship Id="rId184" Type="http://schemas.openxmlformats.org/officeDocument/2006/relationships/hyperlink" Target="https://herhoopstats.com/stats/wnba/player/moriah-jefferson-stats-11eaecc7-4a7d-02d6-b611-2362f5011b0b/" TargetMode="External"/><Relationship Id="rId219" Type="http://schemas.openxmlformats.org/officeDocument/2006/relationships/hyperlink" Target="https://herhoopstats.com/stats/wnba/player/satou-sabally-stats-11eaecc7-4a3c-a22c-b611-2362f5011b0b/" TargetMode="External"/><Relationship Id="rId3" Type="http://schemas.openxmlformats.org/officeDocument/2006/relationships/hyperlink" Target="https://herhoopstats.com/stats/wnba/player/ajae-petty-stats-11f02f7d-4427-283c-be47-12df17ae4e1e/" TargetMode="External"/><Relationship Id="rId214" Type="http://schemas.openxmlformats.org/officeDocument/2006/relationships/hyperlink" Target="https://herhoopstats.com/stats/wnba/player/brionna-jones-stats-11eaecc7-3e39-3166-b611-2362f5011b0b/" TargetMode="External"/><Relationship Id="rId25" Type="http://schemas.openxmlformats.org/officeDocument/2006/relationships/hyperlink" Target="https://herhoopstats.com/stats/wnba/player/kamiah-smalls-stats-11eaecc7-3f52-ac12-b611-2362f5011b0b/" TargetMode="External"/><Relationship Id="rId46" Type="http://schemas.openxmlformats.org/officeDocument/2006/relationships/hyperlink" Target="https://herhoopstats.com/stats/wnba/player/zia-cooke-stats-11edf6b7-148b-5b94-b638-024276bea302/" TargetMode="External"/><Relationship Id="rId67" Type="http://schemas.openxmlformats.org/officeDocument/2006/relationships/hyperlink" Target="https://herhoopstats.com/stats/wnba/player/megan-mcconnell-stats-11f02f7c-fbda-57fc-be47-12df17ae4e1e/" TargetMode="External"/><Relationship Id="rId116" Type="http://schemas.openxmlformats.org/officeDocument/2006/relationships/hyperlink" Target="https://herhoopstats.com/stats/wnba/player/angel-reese-stats-11ef10cc-1f4d-0232-b390-a0c589f521ca/" TargetMode="External"/><Relationship Id="rId137" Type="http://schemas.openxmlformats.org/officeDocument/2006/relationships/hyperlink" Target="https://herhoopstats.com/stats/wnba/player/nyara-sabally-stats-11eccc24-e3fa-ac7c-ba73-12df17ae4e1e/" TargetMode="External"/><Relationship Id="rId158" Type="http://schemas.openxmlformats.org/officeDocument/2006/relationships/hyperlink" Target="https://herhoopstats.com/stats/wnba/player/shakira-austin-stats-11eccc24-e1d4-db84-ba73-12df17ae4e1e/" TargetMode="External"/><Relationship Id="rId20" Type="http://schemas.openxmlformats.org/officeDocument/2006/relationships/hyperlink" Target="https://herhoopstats.com/stats/wnba/player/haley-jones-stats-11edf6b6-e860-374c-b638-024276bea302/" TargetMode="External"/><Relationship Id="rId41" Type="http://schemas.openxmlformats.org/officeDocument/2006/relationships/hyperlink" Target="https://herhoopstats.com/stats/wnba/player/camryn-taylor-stats-11ef10cc-bdd9-895c-b390-a0c589f521ca/" TargetMode="External"/><Relationship Id="rId62" Type="http://schemas.openxmlformats.org/officeDocument/2006/relationships/hyperlink" Target="https://herhoopstats.com/stats/wnba/player/haley-peters-stats-11eaecc7-5587-a8ac-b611-2362f5011b0b/" TargetMode="External"/><Relationship Id="rId83" Type="http://schemas.openxmlformats.org/officeDocument/2006/relationships/hyperlink" Target="https://herhoopstats.com/stats/wnba/player/dewanna-bonner-stats-11eaecc7-3e11-0a92-b611-2362f5011b0b/" TargetMode="External"/><Relationship Id="rId88" Type="http://schemas.openxmlformats.org/officeDocument/2006/relationships/hyperlink" Target="https://herhoopstats.com/stats/wnba/player/jj-quinerly-stats-11f02f7c-fe1e-2318-be47-12df17ae4e1e/" TargetMode="External"/><Relationship Id="rId111" Type="http://schemas.openxmlformats.org/officeDocument/2006/relationships/hyperlink" Target="https://herhoopstats.com/stats/wnba/player/leila-lacan-stats-11ef10cc-29f7-341e-b390-a0c589f521ca/" TargetMode="External"/><Relationship Id="rId132" Type="http://schemas.openxmlformats.org/officeDocument/2006/relationships/hyperlink" Target="https://herhoopstats.com/stats/wnba/player/erica-wheeler-stats-11eaecc7-3eb3-dfc4-b611-2362f5011b0b/" TargetMode="External"/><Relationship Id="rId153" Type="http://schemas.openxmlformats.org/officeDocument/2006/relationships/hyperlink" Target="https://herhoopstats.com/stats/wnba/player/sydney-colson-stats-11eaecc7-3c47-1c7e-b611-2362f5011b0b/" TargetMode="External"/><Relationship Id="rId174" Type="http://schemas.openxmlformats.org/officeDocument/2006/relationships/hyperlink" Target="https://herhoopstats.com/stats/wnba/player/karlie-samuelson-stats-11eaecd2-c023-acc8-90cd-31ee0f3687c8/" TargetMode="External"/><Relationship Id="rId179" Type="http://schemas.openxmlformats.org/officeDocument/2006/relationships/hyperlink" Target="https://herhoopstats.com/stats/wnba/player/kalani-brown-stats-11eaecc7-418d-e50a-b611-2362f5011b0b/" TargetMode="External"/><Relationship Id="rId195" Type="http://schemas.openxmlformats.org/officeDocument/2006/relationships/hyperlink" Target="https://herhoopstats.com/stats/wnba/player/allisha-gray-stats-11eaecc7-4a13-fcb4-b611-2362f5011b0b/" TargetMode="External"/><Relationship Id="rId209" Type="http://schemas.openxmlformats.org/officeDocument/2006/relationships/hyperlink" Target="https://herhoopstats.com/stats/wnba/player/kayla-mcbride-stats-11eaecc7-4574-a37a-b611-2362f5011b0b/" TargetMode="External"/><Relationship Id="rId190" Type="http://schemas.openxmlformats.org/officeDocument/2006/relationships/hyperlink" Target="https://herhoopstats.com/stats/wnba/player/tina-charles-stats-11eaecc7-3fff-1632-b611-2362f5011b0b/" TargetMode="External"/><Relationship Id="rId204" Type="http://schemas.openxmlformats.org/officeDocument/2006/relationships/hyperlink" Target="https://herhoopstats.com/stats/wnba/player/tiffany-hayes-stats-11eaecc7-41f3-ae80-b611-2362f5011b0b/" TargetMode="External"/><Relationship Id="rId220" Type="http://schemas.openxmlformats.org/officeDocument/2006/relationships/hyperlink" Target="https://herhoopstats.com/stats/wnba/player/sabrina-ionescu-stats-11eaecc7-425a-0c5c-b611-2362f5011b0b/" TargetMode="External"/><Relationship Id="rId225" Type="http://schemas.openxmlformats.org/officeDocument/2006/relationships/hyperlink" Target="https://herhoopstats.com/stats/wnba/player/jewell-loyd-stats-11eaecc7-4392-1cfe-b611-2362f5011b0b/" TargetMode="External"/><Relationship Id="rId15" Type="http://schemas.openxmlformats.org/officeDocument/2006/relationships/hyperlink" Target="https://herhoopstats.com/stats/wnba/player/bree-hall-stats-11f02f7d-1d09-c69c-be47-12df17ae4e1e/" TargetMode="External"/><Relationship Id="rId36" Type="http://schemas.openxmlformats.org/officeDocument/2006/relationships/hyperlink" Target="https://herhoopstats.com/stats/wnba/player/grace-berger-stats-11edf6b6-b027-5a2c-bd52-024276bea302/" TargetMode="External"/><Relationship Id="rId57" Type="http://schemas.openxmlformats.org/officeDocument/2006/relationships/hyperlink" Target="https://herhoopstats.com/stats/wnba/player/joyner-holmes-stats-11eaecc7-4295-57a8-b611-2362f5011b0b/" TargetMode="External"/><Relationship Id="rId106" Type="http://schemas.openxmlformats.org/officeDocument/2006/relationships/hyperlink" Target="https://herhoopstats.com/stats/wnba/player/aaliyah-nye-stats-11f02f7c-f1f8-1710-be47-12df17ae4e1e/" TargetMode="External"/><Relationship Id="rId127" Type="http://schemas.openxmlformats.org/officeDocument/2006/relationships/hyperlink" Target="https://herhoopstats.com/stats/wnba/player/paige-bueckers-stats-11f02f7c-fd3d-c2fa-be47-12df17ae4e1e/" TargetMode="External"/><Relationship Id="rId10" Type="http://schemas.openxmlformats.org/officeDocument/2006/relationships/hyperlink" Target="https://herhoopstats.com/stats/wnba/player/bree-hall-stats-11f02f7d-1d09-c69c-be47-12df17ae4e1e/" TargetMode="External"/><Relationship Id="rId31" Type="http://schemas.openxmlformats.org/officeDocument/2006/relationships/hyperlink" Target="https://herhoopstats.com/stats/wnba/player/kiana-williams-stats-11ebb4ec-f541-2736-9a0e-12df17ae4e1e/" TargetMode="External"/><Relationship Id="rId52" Type="http://schemas.openxmlformats.org/officeDocument/2006/relationships/hyperlink" Target="https://herhoopstats.com/stats/wnba/player/kyara-linskens-stats-11f02f7c-ffb9-e3ba-be47-12df17ae4e1e/" TargetMode="External"/><Relationship Id="rId73" Type="http://schemas.openxmlformats.org/officeDocument/2006/relationships/hyperlink" Target="https://herhoopstats.com/stats/wnba/player/haley-peters-stats-11eaecc7-5587-a8ac-b611-2362f5011b0b/" TargetMode="External"/><Relationship Id="rId78" Type="http://schemas.openxmlformats.org/officeDocument/2006/relationships/hyperlink" Target="https://herhoopstats.com/stats/wnba/player/kaitlyn-chen-stats-11f02f7c-fffc-c0ae-be47-12df17ae4e1e/" TargetMode="External"/><Relationship Id="rId94" Type="http://schemas.openxmlformats.org/officeDocument/2006/relationships/hyperlink" Target="https://herhoopstats.com/stats/wnba/player/marine-johannes-stats-11eaecd2-ab0f-a4fe-90cd-31ee0f3687c8/" TargetMode="External"/><Relationship Id="rId99" Type="http://schemas.openxmlformats.org/officeDocument/2006/relationships/hyperlink" Target="https://herhoopstats.com/stats/wnba/player/sika-kone-stats-11eccc24-e412-3400-ba73-12df17ae4e1e/" TargetMode="External"/><Relationship Id="rId101" Type="http://schemas.openxmlformats.org/officeDocument/2006/relationships/hyperlink" Target="https://herhoopstats.com/stats/wnba/player/kate-martin-stats-11ef127a-7161-ffc8-90e5-12df17ae4e1e/" TargetMode="External"/><Relationship Id="rId122" Type="http://schemas.openxmlformats.org/officeDocument/2006/relationships/hyperlink" Target="https://herhoopstats.com/stats/wnba/player/emma-meesseman-stats-11eaecc7-4013-10ce-b611-2362f5011b0b/" TargetMode="External"/><Relationship Id="rId143" Type="http://schemas.openxmlformats.org/officeDocument/2006/relationships/hyperlink" Target="https://herhoopstats.com/stats/wnba/player/diamond-miller-stats-11edf6b7-24a6-b29e-b638-024276bea302/" TargetMode="External"/><Relationship Id="rId148" Type="http://schemas.openxmlformats.org/officeDocument/2006/relationships/hyperlink" Target="https://herhoopstats.com/stats/wnba/player/brianna-turner-stats-11eaecc7-490d-f3ba-b611-2362f5011b0b/" TargetMode="External"/><Relationship Id="rId164" Type="http://schemas.openxmlformats.org/officeDocument/2006/relationships/hyperlink" Target="https://herhoopstats.com/stats/wnba/player/sophie-cunningham-stats-11eaecc7-4936-aeae-b611-2362f5011b0b/" TargetMode="External"/><Relationship Id="rId169" Type="http://schemas.openxmlformats.org/officeDocument/2006/relationships/hyperlink" Target="https://herhoopstats.com/stats/wnba/player/kiah-stokes-stats-11eaecc7-4349-4682-b611-2362f5011b0b/" TargetMode="External"/><Relationship Id="rId185" Type="http://schemas.openxmlformats.org/officeDocument/2006/relationships/hyperlink" Target="https://herhoopstats.com/stats/wnba/player/alanna-smith-stats-11eaecc7-4987-381a-b611-2362f5011b0b/" TargetMode="External"/><Relationship Id="rId4" Type="http://schemas.openxmlformats.org/officeDocument/2006/relationships/hyperlink" Target="https://herhoopstats.com/stats/wnba/player/grace-berger-stats-11edf6b6-b027-5a2c-bd52-024276bea302/" TargetMode="External"/><Relationship Id="rId9" Type="http://schemas.openxmlformats.org/officeDocument/2006/relationships/hyperlink" Target="https://herhoopstats.com/stats/wnba/player/chloe-bibby-stats-11eccc25-0650-0d58-ba73-12df17ae4e1e/" TargetMode="External"/><Relationship Id="rId180" Type="http://schemas.openxmlformats.org/officeDocument/2006/relationships/hyperlink" Target="https://herhoopstats.com/stats/wnba/player/kayla-thornton-stats-11eaecc7-4a90-c44c-b611-2362f5011b0b/" TargetMode="External"/><Relationship Id="rId210" Type="http://schemas.openxmlformats.org/officeDocument/2006/relationships/hyperlink" Target="https://herhoopstats.com/stats/wnba/player/alysha-clark-stats-11eaecc7-4468-8e38-b611-2362f5011b0b/" TargetMode="External"/><Relationship Id="rId215" Type="http://schemas.openxmlformats.org/officeDocument/2006/relationships/hyperlink" Target="https://herhoopstats.com/stats/wnba/player/skylar-diggins-stats-11eaecc7-495f-145c-b611-2362f5011b0b/" TargetMode="External"/><Relationship Id="rId26" Type="http://schemas.openxmlformats.org/officeDocument/2006/relationships/hyperlink" Target="https://herhoopstats.com/stats/wnba/player/yvonne-anderson-stats-11eccc24-de9c-6ce8-ba73-12df17ae4e1e/" TargetMode="External"/><Relationship Id="rId47" Type="http://schemas.openxmlformats.org/officeDocument/2006/relationships/hyperlink" Target="https://herhoopstats.com/stats/wnba/player/shey-peddy-stats-11eaecc7-494a-ffbc-b611-2362f5011b0b/" TargetMode="External"/><Relationship Id="rId68" Type="http://schemas.openxmlformats.org/officeDocument/2006/relationships/hyperlink" Target="https://herhoopstats.com/stats/wnba/player/iliana-rupert-stats-11ebb4ed-e4e2-cbb4-9185-12df17ae4e1e/" TargetMode="External"/><Relationship Id="rId89" Type="http://schemas.openxmlformats.org/officeDocument/2006/relationships/hyperlink" Target="https://herhoopstats.com/stats/wnba/player/taylor-thierry-stats-11f02f7c-e95a-f73a-be47-12df17ae4e1e/" TargetMode="External"/><Relationship Id="rId112" Type="http://schemas.openxmlformats.org/officeDocument/2006/relationships/hyperlink" Target="https://herhoopstats.com/stats/wnba/player/carla-leite-stats-11ef10cc-9a1c-0008-b390-a0c589f521ca/" TargetMode="External"/><Relationship Id="rId133" Type="http://schemas.openxmlformats.org/officeDocument/2006/relationships/hyperlink" Target="https://herhoopstats.com/stats/wnba/player/kennedy-burke-stats-11eaecc7-3e77-0608-b611-2362f5011b0b/" TargetMode="External"/><Relationship Id="rId154" Type="http://schemas.openxmlformats.org/officeDocument/2006/relationships/hyperlink" Target="https://herhoopstats.com/stats/wnba/player/lindsay-allen-stats-11eaecc7-4524-d8d6-b611-2362f5011b0b/" TargetMode="External"/><Relationship Id="rId175" Type="http://schemas.openxmlformats.org/officeDocument/2006/relationships/hyperlink" Target="https://herhoopstats.com/stats/wnba/player/michaela-onyenwere-stats-11ebb4ec-f433-dc94-9a0e-12df17ae4e1e/" TargetMode="External"/><Relationship Id="rId196" Type="http://schemas.openxmlformats.org/officeDocument/2006/relationships/hyperlink" Target="https://herhoopstats.com/stats/wnba/player/jordin-canada-stats-11eaecc7-43b9-89ce-b611-2362f5011b0b/" TargetMode="External"/><Relationship Id="rId200" Type="http://schemas.openxmlformats.org/officeDocument/2006/relationships/hyperlink" Target="https://herhoopstats.com/stats/wnba/player/chelsea-gray-stats-11eaecc7-46a9-5f74-b611-2362f5011b0b/" TargetMode="External"/><Relationship Id="rId16" Type="http://schemas.openxmlformats.org/officeDocument/2006/relationships/hyperlink" Target="https://herhoopstats.com/stats/wnba/player/madison-scott-stats-11f02f7d-44ac-14fc-be47-12df17ae4e1e/" TargetMode="External"/><Relationship Id="rId221" Type="http://schemas.openxmlformats.org/officeDocument/2006/relationships/hyperlink" Target="https://herhoopstats.com/stats/wnba/player/breanna-stewart-stats-11eaecc7-4406-bae6-b611-2362f5011b0b/" TargetMode="External"/><Relationship Id="rId37" Type="http://schemas.openxmlformats.org/officeDocument/2006/relationships/hyperlink" Target="https://herhoopstats.com/stats/wnba/player/alissa-pili-stats-11ef10cc-7ef5-9d5c-b390-a0c589f521ca/" TargetMode="External"/><Relationship Id="rId58" Type="http://schemas.openxmlformats.org/officeDocument/2006/relationships/hyperlink" Target="https://herhoopstats.com/stats/wnba/player/mamignan-tour%C3%A9-stats-11f02f7d-01a9-5516-be47-12df17ae4e1e/" TargetMode="External"/><Relationship Id="rId79" Type="http://schemas.openxmlformats.org/officeDocument/2006/relationships/hyperlink" Target="https://herhoopstats.com/stats/wnba/player/aari-mcdonald-stats-11ebb4ec-f33d-5a86-9a0e-12df17ae4e1e/" TargetMode="External"/><Relationship Id="rId102" Type="http://schemas.openxmlformats.org/officeDocument/2006/relationships/hyperlink" Target="https://herhoopstats.com/stats/wnba/player/te-hina-paopao-stats-11f02f7c-ead8-9806-be47-12df17ae4e1e/" TargetMode="External"/><Relationship Id="rId123" Type="http://schemas.openxmlformats.org/officeDocument/2006/relationships/hyperlink" Target="https://herhoopstats.com/stats/wnba/player/caitlin-clark-stats-11ef10cc-36c4-18e2-b390-a0c589f521ca/" TargetMode="External"/><Relationship Id="rId144" Type="http://schemas.openxmlformats.org/officeDocument/2006/relationships/hyperlink" Target="https://herhoopstats.com/stats/wnba/player/aliyah-boston-stats-11edf6b6-b45b-5788-bd52-024276bea302/" TargetMode="External"/><Relationship Id="rId90" Type="http://schemas.openxmlformats.org/officeDocument/2006/relationships/hyperlink" Target="https://herhoopstats.com/stats/wnba/player/julie-vanloo-stats-11ef10cc-406a-16f8-b390-a0c589f521ca/" TargetMode="External"/><Relationship Id="rId165" Type="http://schemas.openxmlformats.org/officeDocument/2006/relationships/hyperlink" Target="https://herhoopstats.com/stats/wnba/player/cecilia-zandalasini-stats-11eaecea-ccf2-b3fa-934f-8b50fcb63fde/" TargetMode="External"/><Relationship Id="rId186" Type="http://schemas.openxmlformats.org/officeDocument/2006/relationships/hyperlink" Target="https://herhoopstats.com/stats/wnba/player/nia-coffey-stats-11eaecc7-4922-6ff2-b611-2362f5011b0b/" TargetMode="External"/><Relationship Id="rId211" Type="http://schemas.openxmlformats.org/officeDocument/2006/relationships/hyperlink" Target="https://herhoopstats.com/stats/wnba/player/jonquel-jones-stats-11eaecc7-3dd5-8260-b611-2362f5011b0b/" TargetMode="External"/><Relationship Id="rId27" Type="http://schemas.openxmlformats.org/officeDocument/2006/relationships/hyperlink" Target="https://herhoopstats.com/stats/wnba/player/odyssey-sims-stats-11eaecc7-47f4-5ece-b611-2362f5011b0b/" TargetMode="External"/><Relationship Id="rId48" Type="http://schemas.openxmlformats.org/officeDocument/2006/relationships/hyperlink" Target="https://herhoopstats.com/stats/wnba/player/kaila-charles-stats-11eaecc7-3dfd-1fdc-b611-2362f5011b0b/" TargetMode="External"/><Relationship Id="rId69" Type="http://schemas.openxmlformats.org/officeDocument/2006/relationships/hyperlink" Target="https://herhoopstats.com/stats/wnba/player/stephanie-talbot-stats-11eaeccf-b78e-5ec6-abdf-1f3cc36cb6a8/" TargetMode="External"/><Relationship Id="rId113" Type="http://schemas.openxmlformats.org/officeDocument/2006/relationships/hyperlink" Target="https://herhoopstats.com/stats/wnba/player/aziaha-james-stats-11f02f7c-fcb1-011c-be47-12df17ae4e1e/" TargetMode="External"/><Relationship Id="rId134" Type="http://schemas.openxmlformats.org/officeDocument/2006/relationships/hyperlink" Target="https://herhoopstats.com/stats/wnba/player/isabelle-harrison-stats-11eaecc7-49ff-d5ae-b611-2362f5011b0b/" TargetMode="External"/><Relationship Id="rId80" Type="http://schemas.openxmlformats.org/officeDocument/2006/relationships/hyperlink" Target="https://herhoopstats.com/stats/wnba/player/laeticia-amihere-stats-11edf6b6-e9da-ce5c-b638-024276bea302/" TargetMode="External"/><Relationship Id="rId155" Type="http://schemas.openxmlformats.org/officeDocument/2006/relationships/hyperlink" Target="https://herhoopstats.com/stats/wnba/player/katie-lou-samuelson-stats-11eaecc7-4a28-5100-b611-2362f5011b0b/" TargetMode="External"/><Relationship Id="rId176" Type="http://schemas.openxmlformats.org/officeDocument/2006/relationships/hyperlink" Target="https://herhoopstats.com/stats/wnba/player/bridget-carleton-stats-11eaecc7-4863-dea2-b611-2362f5011b0b/" TargetMode="External"/><Relationship Id="rId197" Type="http://schemas.openxmlformats.org/officeDocument/2006/relationships/hyperlink" Target="https://herhoopstats.com/stats/wnba/player/nneka-ogwumike-stats-11eaecc7-46d2-8ba6-b611-2362f5011b0b/" TargetMode="External"/><Relationship Id="rId201" Type="http://schemas.openxmlformats.org/officeDocument/2006/relationships/hyperlink" Target="https://herhoopstats.com/stats/wnba/player/aja-wilson-stats-11eaecc7-44fc-b036-b611-2362f5011b0b/" TargetMode="External"/><Relationship Id="rId222" Type="http://schemas.openxmlformats.org/officeDocument/2006/relationships/hyperlink" Target="https://herhoopstats.com/stats/wnba/player/ariel-atkins-stats-11eaecc7-3fd7-a656-b611-2362f5011b0b/" TargetMode="External"/><Relationship Id="rId17" Type="http://schemas.openxmlformats.org/officeDocument/2006/relationships/hyperlink" Target="https://herhoopstats.com/stats/wnba/player/haley-jones-stats-11edf6b6-e860-374c-b638-024276bea302/" TargetMode="External"/><Relationship Id="rId38" Type="http://schemas.openxmlformats.org/officeDocument/2006/relationships/hyperlink" Target="https://herhoopstats.com/stats/wnba/player/kiana-williams-stats-11ebb4ec-f541-2736-9a0e-12df17ae4e1e/" TargetMode="External"/><Relationship Id="rId59" Type="http://schemas.openxmlformats.org/officeDocument/2006/relationships/hyperlink" Target="https://herhoopstats.com/stats/wnba/player/jaylyn-sherrod-stats-11ef10cc-5d9a-e86a-b390-a0c589f521ca/" TargetMode="External"/><Relationship Id="rId103" Type="http://schemas.openxmlformats.org/officeDocument/2006/relationships/hyperlink" Target="https://herhoopstats.com/stats/wnba/player/makayla-timpson-stats-11f02f7c-e518-6590-be47-12df17ae4e1e/" TargetMode="External"/><Relationship Id="rId124" Type="http://schemas.openxmlformats.org/officeDocument/2006/relationships/hyperlink" Target="https://herhoopstats.com/stats/wnba/player/kamilla-cardoso-stats-11ef10cc-22e6-5d4e-b390-a0c589f521ca/" TargetMode="External"/><Relationship Id="rId70" Type="http://schemas.openxmlformats.org/officeDocument/2006/relationships/hyperlink" Target="https://herhoopstats.com/stats/wnba/player/haley-jones-stats-11edf6b6-e860-374c-b638-024276bea302/" TargetMode="External"/><Relationship Id="rId91" Type="http://schemas.openxmlformats.org/officeDocument/2006/relationships/hyperlink" Target="https://herhoopstats.com/stats/wnba/player/monique-akoa-makani-stats-11f02f7c-faac-246e-be47-12df17ae4e1e/" TargetMode="External"/><Relationship Id="rId145" Type="http://schemas.openxmlformats.org/officeDocument/2006/relationships/hyperlink" Target="https://herhoopstats.com/stats/wnba/player/maddy-siegrist-stats-11edf6b8-48ca-b2aa-ae8b-024276bea302/" TargetMode="External"/><Relationship Id="rId166" Type="http://schemas.openxmlformats.org/officeDocument/2006/relationships/hyperlink" Target="https://herhoopstats.com/stats/wnba/player/damiris-dantas-stats-11eaecc7-484f-953c-b611-2362f5011b0b/" TargetMode="External"/><Relationship Id="rId187" Type="http://schemas.openxmlformats.org/officeDocument/2006/relationships/hyperlink" Target="https://herhoopstats.com/stats/wnba/player/shatori-walker-kimbrough-stats-11eaecc7-48f9-7232-b611-2362f5011b0b/" TargetMode="External"/><Relationship Id="rId1" Type="http://schemas.openxmlformats.org/officeDocument/2006/relationships/hyperlink" Target="https://herhoopstats.com/stats/wnba/player/aerial-powers-stats-11eaecc7-404e-cc36-b611-2362f5011b0b/" TargetMode="External"/><Relationship Id="rId212" Type="http://schemas.openxmlformats.org/officeDocument/2006/relationships/hyperlink" Target="https://herhoopstats.com/stats/wnba/player/marina-mabrey-stats-11eaecc7-4a51-4696-b611-2362f5011b0b/" TargetMode="External"/><Relationship Id="rId28" Type="http://schemas.openxmlformats.org/officeDocument/2006/relationships/hyperlink" Target="https://herhoopstats.com/stats/wnba/player/camryn-taylor-stats-11ef10cc-bdd9-895c-b390-a0c589f521ca/" TargetMode="External"/><Relationship Id="rId49" Type="http://schemas.openxmlformats.org/officeDocument/2006/relationships/hyperlink" Target="https://herhoopstats.com/stats/wnba/player/odyssey-sims-stats-11eaecc7-47f4-5ece-b611-2362f5011b0b/" TargetMode="External"/><Relationship Id="rId114" Type="http://schemas.openxmlformats.org/officeDocument/2006/relationships/hyperlink" Target="https://herhoopstats.com/stats/wnba/player/sarah-ashlee-barker-stats-11f02f7c-f64e-13dc-be47-12df17ae4e1e/" TargetMode="External"/><Relationship Id="rId60" Type="http://schemas.openxmlformats.org/officeDocument/2006/relationships/hyperlink" Target="https://herhoopstats.com/stats/wnba/player/kaila-charles-stats-11eaecc7-3dfd-1fdc-b611-2362f5011b0b/" TargetMode="External"/><Relationship Id="rId81" Type="http://schemas.openxmlformats.org/officeDocument/2006/relationships/hyperlink" Target="https://herhoopstats.com/stats/wnba/player/maria-kliundikova-stats-11eaeccf-b905-7118-abdf-1f3cc36cb6a8/" TargetMode="External"/><Relationship Id="rId135" Type="http://schemas.openxmlformats.org/officeDocument/2006/relationships/hyperlink" Target="https://herhoopstats.com/stats/wnba/player/bria-hartley-stats-11eaecc7-48e4-f4ba-b611-2362f5011b0b/" TargetMode="External"/><Relationship Id="rId156" Type="http://schemas.openxmlformats.org/officeDocument/2006/relationships/hyperlink" Target="https://herhoopstats.com/stats/wnba/player/rhyne-howard-stats-11eccc24-e32a-8af6-ba73-12df17ae4e1e/" TargetMode="External"/><Relationship Id="rId177" Type="http://schemas.openxmlformats.org/officeDocument/2006/relationships/hyperlink" Target="https://herhoopstats.com/stats/wnba/player/sami-whitcomb-stats-11eaecc7-442e-6f32-b611-2362f5011b0b/" TargetMode="External"/><Relationship Id="rId198" Type="http://schemas.openxmlformats.org/officeDocument/2006/relationships/hyperlink" Target="https://herhoopstats.com/stats/wnba/player/azura-stevens-stats-11eaecc7-3c1a-6f26-b611-2362f5011b0b/" TargetMode="External"/><Relationship Id="rId202" Type="http://schemas.openxmlformats.org/officeDocument/2006/relationships/hyperlink" Target="https://herhoopstats.com/stats/wnba/player/dijonai-carrington-stats-11ebb4ec-f0ba-a8e0-9a0e-12df17ae4e1e/" TargetMode="External"/><Relationship Id="rId223" Type="http://schemas.openxmlformats.org/officeDocument/2006/relationships/hyperlink" Target="https://herhoopstats.com/stats/wnba/player/gabby-williams-stats-11eaecc7-3c73-5668-b611-2362f5011b0b/" TargetMode="External"/><Relationship Id="rId18" Type="http://schemas.openxmlformats.org/officeDocument/2006/relationships/hyperlink" Target="https://herhoopstats.com/stats/wnba/player/liatu-king-stats-11f02f7d-2d73-639e-be47-12df17ae4e1e/" TargetMode="External"/><Relationship Id="rId39" Type="http://schemas.openxmlformats.org/officeDocument/2006/relationships/hyperlink" Target="https://herhoopstats.com/stats/wnba/player/madison-scott-stats-11f02f7d-44ac-14fc-be47-12df17ae4e1e/" TargetMode="External"/><Relationship Id="rId50" Type="http://schemas.openxmlformats.org/officeDocument/2006/relationships/hyperlink" Target="https://herhoopstats.com/stats/wnba/player/haley-peters-stats-11eaecc7-5587-a8ac-b611-2362f5011b0b/" TargetMode="External"/><Relationship Id="rId104" Type="http://schemas.openxmlformats.org/officeDocument/2006/relationships/hyperlink" Target="https://herhoopstats.com/stats/wnba/player/lucy-olsen-stats-11f02f7c-e707-d91c-be47-12df17ae4e1e/" TargetMode="External"/><Relationship Id="rId125" Type="http://schemas.openxmlformats.org/officeDocument/2006/relationships/hyperlink" Target="https://herhoopstats.com/stats/wnba/player/rickea-jackson-stats-11edf6b9-7f4f-064a-94f3-024276bea302/" TargetMode="External"/><Relationship Id="rId146" Type="http://schemas.openxmlformats.org/officeDocument/2006/relationships/hyperlink" Target="https://herhoopstats.com/stats/wnba/player/kierstan-bell-stats-11eccc24-e714-46e8-ba73-12df17ae4e1e/" TargetMode="External"/><Relationship Id="rId167" Type="http://schemas.openxmlformats.org/officeDocument/2006/relationships/hyperlink" Target="https://herhoopstats.com/stats/wnba/player/elizabeth-williams-stats-11eaecc7-41b7-b3da-b611-2362f5011b0b/" TargetMode="External"/><Relationship Id="rId188" Type="http://schemas.openxmlformats.org/officeDocument/2006/relationships/hyperlink" Target="https://herhoopstats.com/stats/wnba/player/rebecca-allen-stats-11eaecc7-42d4-5c28-b611-2362f5011b0b/" TargetMode="External"/><Relationship Id="rId71" Type="http://schemas.openxmlformats.org/officeDocument/2006/relationships/hyperlink" Target="https://herhoopstats.com/stats/wnba/player/marquesha-davis-stats-11ef10cc-5bb7-1a28-b390-a0c589f521ca/" TargetMode="External"/><Relationship Id="rId92" Type="http://schemas.openxmlformats.org/officeDocument/2006/relationships/hyperlink" Target="https://herhoopstats.com/stats/wnba/player/janelle-salaun-stats-11f02f7d-01ec-45e2-be47-12df17ae4e1e/" TargetMode="External"/><Relationship Id="rId213" Type="http://schemas.openxmlformats.org/officeDocument/2006/relationships/hyperlink" Target="https://herhoopstats.com/stats/wnba/player/napheesa-collier-stats-11eaecc7-4753-2158-b611-2362f5011b0b/" TargetMode="External"/><Relationship Id="rId2" Type="http://schemas.openxmlformats.org/officeDocument/2006/relationships/hyperlink" Target="https://herhoopstats.com/stats/wnba/player/christyn-williams-stats-11eccc25-118b-199c-ba73-12df17ae4e1e/" TargetMode="External"/><Relationship Id="rId29" Type="http://schemas.openxmlformats.org/officeDocument/2006/relationships/hyperlink" Target="https://herhoopstats.com/stats/wnba/player/aerial-powers-stats-11eaecc7-404e-cc36-b611-2362f5011b0b/" TargetMode="External"/><Relationship Id="rId40" Type="http://schemas.openxmlformats.org/officeDocument/2006/relationships/hyperlink" Target="https://herhoopstats.com/stats/wnba/player/mamignan-tour%C3%A9-stats-11f02f7d-01a9-5516-be47-12df17ae4e1e/" TargetMode="External"/><Relationship Id="rId115" Type="http://schemas.openxmlformats.org/officeDocument/2006/relationships/hyperlink" Target="https://herhoopstats.com/stats/wnba/player/hailey-van-lith-stats-11f02f7c-dd6b-9970-be47-12df17ae4e1e/" TargetMode="External"/><Relationship Id="rId136" Type="http://schemas.openxmlformats.org/officeDocument/2006/relationships/hyperlink" Target="https://herhoopstats.com/stats/wnba/player/cheyenne-parker-tyus-stats-11eaecc7-3c5d-262c-b611-2362f5011b0b/" TargetMode="External"/><Relationship Id="rId157" Type="http://schemas.openxmlformats.org/officeDocument/2006/relationships/hyperlink" Target="https://herhoopstats.com/stats/wnba/player/nalyssa-smith-stats-11eccc24-dfe7-b4e0-ba73-12df17ae4e1e/" TargetMode="External"/><Relationship Id="rId178" Type="http://schemas.openxmlformats.org/officeDocument/2006/relationships/hyperlink" Target="https://herhoopstats.com/stats/wnba/player/stephanie-talbot-stats-11eaeccf-b78e-5ec6-abdf-1f3cc36cb6a8/" TargetMode="External"/><Relationship Id="rId61" Type="http://schemas.openxmlformats.org/officeDocument/2006/relationships/hyperlink" Target="https://herhoopstats.com/stats/wnba/player/chloe-bibby-stats-11eccc25-0650-0d58-ba73-12df17ae4e1e/" TargetMode="External"/><Relationship Id="rId82" Type="http://schemas.openxmlformats.org/officeDocument/2006/relationships/hyperlink" Target="https://herhoopstats.com/stats/wnba/player/odyssey-sims-stats-11eaecc7-47f4-5ece-b611-2362f5011b0b/" TargetMode="External"/><Relationship Id="rId199" Type="http://schemas.openxmlformats.org/officeDocument/2006/relationships/hyperlink" Target="https://herhoopstats.com/stats/wnba/player/brittney-sykes-stats-11eaecc7-45e2-de26-b611-2362f5011b0b/" TargetMode="External"/><Relationship Id="rId203" Type="http://schemas.openxmlformats.org/officeDocument/2006/relationships/hyperlink" Target="https://herhoopstats.com/stats/wnba/player/natasha-cloud-stats-11eaecc7-40c5-e9b0-b611-2362f5011b0b/" TargetMode="External"/><Relationship Id="rId19" Type="http://schemas.openxmlformats.org/officeDocument/2006/relationships/hyperlink" Target="https://herhoopstats.com/stats/wnba/player/serena-sundell-stats-11f02f7c-f120-b11c-be47-12df17ae4e1e/" TargetMode="External"/><Relationship Id="rId224" Type="http://schemas.openxmlformats.org/officeDocument/2006/relationships/hyperlink" Target="https://herhoopstats.com/stats/wnba/player/kahleah-copper-stats-11eaecc7-3c89-9b3a-b611-2362f5011b0b/" TargetMode="External"/><Relationship Id="rId30" Type="http://schemas.openxmlformats.org/officeDocument/2006/relationships/hyperlink" Target="https://herhoopstats.com/stats/wnba/player/shey-peddy-stats-11eaecc7-494a-ffbc-b611-2362f5011b0b/" TargetMode="External"/><Relationship Id="rId105" Type="http://schemas.openxmlformats.org/officeDocument/2006/relationships/hyperlink" Target="https://herhoopstats.com/stats/wnba/player/maddy-westbeld-stats-11f02f7c-ddfa-609c-be47-12df17ae4e1e/" TargetMode="External"/><Relationship Id="rId126" Type="http://schemas.openxmlformats.org/officeDocument/2006/relationships/hyperlink" Target="https://herhoopstats.com/stats/wnba/player/cameron-brink-stats-11ef10cc-784e-bd94-b390-a0c589f521ca/" TargetMode="External"/><Relationship Id="rId147" Type="http://schemas.openxmlformats.org/officeDocument/2006/relationships/hyperlink" Target="https://herhoopstats.com/stats/wnba/player/julie-allemand-stats-11eaecc7-3e9f-d542-b611-2362f5011b0b/" TargetMode="External"/><Relationship Id="rId168" Type="http://schemas.openxmlformats.org/officeDocument/2006/relationships/hyperlink" Target="https://herhoopstats.com/stats/wnba/player/tyasha-harris-stats-11eaecc7-4ab8-418e-b611-2362f5011b0b/" TargetMode="External"/><Relationship Id="rId51" Type="http://schemas.openxmlformats.org/officeDocument/2006/relationships/hyperlink" Target="https://herhoopstats.com/stats/wnba/player/kaila-charles-stats-11eaecc7-3dfd-1fdc-b611-2362f5011b0b/" TargetMode="External"/><Relationship Id="rId72" Type="http://schemas.openxmlformats.org/officeDocument/2006/relationships/hyperlink" Target="https://herhoopstats.com/stats/wnba/player/alissa-pili-stats-11ef10cc-7ef5-9d5c-b390-a0c589f521ca/" TargetMode="External"/><Relationship Id="rId93" Type="http://schemas.openxmlformats.org/officeDocument/2006/relationships/hyperlink" Target="https://herhoopstats.com/stats/wnba/player/kathryn-westbeld-stats-11eaecc7-56aa-cdd6-b611-2362f5011b0b/" TargetMode="External"/><Relationship Id="rId189" Type="http://schemas.openxmlformats.org/officeDocument/2006/relationships/hyperlink" Target="https://herhoopstats.com/stats/wnba/player/jackie-young-stats-11eaecc7-44e8-b55e-b611-2362f5011b0b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2B6D1-08BC-A540-AD7F-2FF3B0F69A69}">
  <dimension ref="A1:R185"/>
  <sheetViews>
    <sheetView zoomScale="86" workbookViewId="0">
      <pane ySplit="1" topLeftCell="A153" activePane="bottomLeft" state="frozen"/>
      <selection pane="bottomLeft" activeCell="C186" sqref="C186"/>
    </sheetView>
  </sheetViews>
  <sheetFormatPr baseColWidth="10" defaultColWidth="11" defaultRowHeight="16" x14ac:dyDescent="0.2"/>
  <cols>
    <col min="1" max="1" width="28.5" customWidth="1"/>
    <col min="2" max="2" width="20" style="33" customWidth="1"/>
    <col min="3" max="3" width="20" style="24" customWidth="1"/>
    <col min="4" max="4" width="19.6640625" customWidth="1"/>
    <col min="5" max="5" width="16.83203125" customWidth="1"/>
    <col min="6" max="6" width="10.83203125" customWidth="1"/>
    <col min="7" max="7" width="13.83203125" customWidth="1"/>
    <col min="8" max="17" width="14.1640625" customWidth="1"/>
  </cols>
  <sheetData>
    <row r="1" spans="1:18" ht="44" x14ac:dyDescent="0.2">
      <c r="A1" s="19" t="s">
        <v>0</v>
      </c>
      <c r="B1" s="29" t="s">
        <v>1</v>
      </c>
      <c r="C1" s="22" t="s">
        <v>209</v>
      </c>
      <c r="D1" s="12" t="s">
        <v>208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</row>
    <row r="2" spans="1:18" ht="18" x14ac:dyDescent="0.2">
      <c r="A2" s="20" t="s">
        <v>15</v>
      </c>
      <c r="B2" s="30">
        <v>269244</v>
      </c>
      <c r="C2" s="23">
        <v>8</v>
      </c>
      <c r="D2" t="s">
        <v>210</v>
      </c>
      <c r="E2" s="2" t="s">
        <v>16</v>
      </c>
      <c r="F2" s="9">
        <v>44</v>
      </c>
      <c r="G2" s="9">
        <v>1381</v>
      </c>
      <c r="H2" s="10">
        <v>20</v>
      </c>
      <c r="I2" s="9">
        <v>27655</v>
      </c>
      <c r="J2" s="11">
        <v>5.6</v>
      </c>
      <c r="K2" s="11">
        <v>4.8</v>
      </c>
      <c r="L2" s="11">
        <v>0.8</v>
      </c>
      <c r="M2" s="11">
        <v>0.16</v>
      </c>
      <c r="N2" s="11">
        <v>0.14000000000000001</v>
      </c>
      <c r="O2" s="11">
        <v>0.02</v>
      </c>
      <c r="P2" s="10">
        <v>114</v>
      </c>
      <c r="Q2" s="10">
        <v>105.4</v>
      </c>
      <c r="R2" s="18"/>
    </row>
    <row r="3" spans="1:18" ht="18" x14ac:dyDescent="0.2">
      <c r="A3" s="20" t="s">
        <v>17</v>
      </c>
      <c r="B3" s="30">
        <v>249032</v>
      </c>
      <c r="C3" s="23">
        <v>7</v>
      </c>
      <c r="D3" t="s">
        <v>211</v>
      </c>
      <c r="E3" s="2" t="s">
        <v>18</v>
      </c>
      <c r="F3" s="9">
        <v>29</v>
      </c>
      <c r="G3" s="9">
        <v>966</v>
      </c>
      <c r="H3" s="10">
        <v>13.3</v>
      </c>
      <c r="I3" s="9">
        <v>12825</v>
      </c>
      <c r="J3" s="11">
        <v>1.3</v>
      </c>
      <c r="K3" s="11">
        <v>1.3</v>
      </c>
      <c r="L3" s="11">
        <v>0</v>
      </c>
      <c r="M3" s="11">
        <v>0.05</v>
      </c>
      <c r="N3" s="11">
        <v>0.05</v>
      </c>
      <c r="O3" s="11">
        <v>0</v>
      </c>
      <c r="P3" s="10">
        <v>101.8</v>
      </c>
      <c r="Q3" s="10">
        <v>110</v>
      </c>
    </row>
    <row r="4" spans="1:18" ht="18" x14ac:dyDescent="0.2">
      <c r="A4" s="20" t="s">
        <v>19</v>
      </c>
      <c r="B4" s="30">
        <v>249032</v>
      </c>
      <c r="C4" s="23">
        <v>11</v>
      </c>
      <c r="D4" t="s">
        <v>211</v>
      </c>
      <c r="E4" s="2" t="s">
        <v>16</v>
      </c>
      <c r="F4" s="9">
        <v>44</v>
      </c>
      <c r="G4" s="9">
        <v>1245</v>
      </c>
      <c r="H4" s="10">
        <v>13.4</v>
      </c>
      <c r="I4" s="9">
        <v>16739</v>
      </c>
      <c r="J4" s="11">
        <v>2.9</v>
      </c>
      <c r="K4" s="11">
        <v>2</v>
      </c>
      <c r="L4" s="11">
        <v>1</v>
      </c>
      <c r="M4" s="11">
        <v>0.09</v>
      </c>
      <c r="N4" s="11">
        <v>0.06</v>
      </c>
      <c r="O4" s="11">
        <v>0.03</v>
      </c>
      <c r="P4" s="10">
        <v>106.5</v>
      </c>
      <c r="Q4" s="10">
        <v>104</v>
      </c>
    </row>
    <row r="5" spans="1:18" ht="18" x14ac:dyDescent="0.2">
      <c r="A5" s="20" t="s">
        <v>20</v>
      </c>
      <c r="B5" s="30">
        <v>248134</v>
      </c>
      <c r="C5" s="23">
        <v>10</v>
      </c>
      <c r="D5" t="s">
        <v>211</v>
      </c>
      <c r="E5" s="2" t="s">
        <v>16</v>
      </c>
      <c r="F5" s="9">
        <v>28</v>
      </c>
      <c r="G5" s="9">
        <v>752</v>
      </c>
      <c r="H5" s="10">
        <v>14.7</v>
      </c>
      <c r="I5" s="9">
        <v>11094</v>
      </c>
      <c r="J5" s="11">
        <v>1.5</v>
      </c>
      <c r="K5" s="11">
        <v>0.8</v>
      </c>
      <c r="L5" s="11">
        <v>0.8</v>
      </c>
      <c r="M5" s="11">
        <v>0.08</v>
      </c>
      <c r="N5" s="11">
        <v>0.04</v>
      </c>
      <c r="O5" s="11">
        <v>0.04</v>
      </c>
      <c r="P5" s="10">
        <v>98.4</v>
      </c>
      <c r="Q5" s="10">
        <v>101.8</v>
      </c>
    </row>
    <row r="6" spans="1:18" ht="18" x14ac:dyDescent="0.2">
      <c r="A6" s="20" t="s">
        <v>21</v>
      </c>
      <c r="B6" s="30">
        <v>225000</v>
      </c>
      <c r="C6" s="23">
        <v>8</v>
      </c>
      <c r="D6" t="s">
        <v>211</v>
      </c>
      <c r="E6" s="2" t="s">
        <v>16</v>
      </c>
      <c r="F6" s="9">
        <v>44</v>
      </c>
      <c r="G6" s="9">
        <v>1391</v>
      </c>
      <c r="H6" s="10">
        <v>15.6</v>
      </c>
      <c r="I6" s="9">
        <v>21728</v>
      </c>
      <c r="J6" s="11">
        <v>3.5</v>
      </c>
      <c r="K6" s="11">
        <v>1.3</v>
      </c>
      <c r="L6" s="11">
        <v>2.2000000000000002</v>
      </c>
      <c r="M6" s="11">
        <v>0.1</v>
      </c>
      <c r="N6" s="11">
        <v>0.04</v>
      </c>
      <c r="O6" s="11">
        <v>0.06</v>
      </c>
      <c r="P6" s="10">
        <v>99.6</v>
      </c>
      <c r="Q6" s="10">
        <v>97.3</v>
      </c>
    </row>
    <row r="7" spans="1:18" ht="18" x14ac:dyDescent="0.2">
      <c r="A7" s="20" t="s">
        <v>22</v>
      </c>
      <c r="B7" s="30">
        <v>223000</v>
      </c>
      <c r="C7" s="23">
        <v>8</v>
      </c>
      <c r="D7" t="s">
        <v>211</v>
      </c>
      <c r="E7" s="2" t="s">
        <v>18</v>
      </c>
      <c r="F7" s="9">
        <v>34</v>
      </c>
      <c r="G7" s="9">
        <v>970</v>
      </c>
      <c r="H7" s="10">
        <v>16</v>
      </c>
      <c r="I7" s="9">
        <v>15499</v>
      </c>
      <c r="J7" s="11">
        <v>2</v>
      </c>
      <c r="K7" s="11">
        <v>1.5</v>
      </c>
      <c r="L7" s="11">
        <v>0.4</v>
      </c>
      <c r="M7" s="11">
        <v>0.08</v>
      </c>
      <c r="N7" s="11">
        <v>0.06</v>
      </c>
      <c r="O7" s="11">
        <v>0.02</v>
      </c>
      <c r="P7" s="10">
        <v>103.6</v>
      </c>
      <c r="Q7" s="10">
        <v>106.5</v>
      </c>
    </row>
    <row r="8" spans="1:18" ht="18" x14ac:dyDescent="0.2">
      <c r="A8" s="20" t="s">
        <v>23</v>
      </c>
      <c r="B8" s="30">
        <v>222400</v>
      </c>
      <c r="C8" s="23">
        <v>10</v>
      </c>
      <c r="D8" t="s">
        <v>211</v>
      </c>
      <c r="E8" s="2" t="s">
        <v>16</v>
      </c>
      <c r="F8" s="9">
        <v>31</v>
      </c>
      <c r="G8" s="9">
        <v>948</v>
      </c>
      <c r="H8" s="10">
        <v>23.7</v>
      </c>
      <c r="I8" s="9">
        <v>22486</v>
      </c>
      <c r="J8" s="11">
        <v>4.7</v>
      </c>
      <c r="K8" s="11">
        <v>3.2</v>
      </c>
      <c r="L8" s="11">
        <v>1.5</v>
      </c>
      <c r="M8" s="11">
        <v>0.2</v>
      </c>
      <c r="N8" s="11">
        <v>0.13</v>
      </c>
      <c r="O8" s="11">
        <v>7.0000000000000007E-2</v>
      </c>
      <c r="P8" s="10">
        <v>112.6</v>
      </c>
      <c r="Q8" s="10">
        <v>97.3</v>
      </c>
    </row>
    <row r="9" spans="1:18" ht="18" x14ac:dyDescent="0.2">
      <c r="A9" s="20" t="s">
        <v>24</v>
      </c>
      <c r="B9" s="31">
        <v>222060</v>
      </c>
      <c r="C9" s="23">
        <v>6</v>
      </c>
      <c r="D9" t="s">
        <v>211</v>
      </c>
      <c r="E9" s="2" t="s">
        <v>25</v>
      </c>
      <c r="F9" s="9">
        <v>38</v>
      </c>
      <c r="G9" s="9">
        <v>1194</v>
      </c>
      <c r="H9" s="10">
        <v>20.6</v>
      </c>
      <c r="I9" s="9">
        <v>24600</v>
      </c>
      <c r="J9" s="11">
        <v>4.5</v>
      </c>
      <c r="K9" s="11">
        <v>3.2</v>
      </c>
      <c r="L9" s="11">
        <v>1.3</v>
      </c>
      <c r="M9" s="11">
        <v>0.15</v>
      </c>
      <c r="N9" s="11">
        <v>0.11</v>
      </c>
      <c r="O9" s="11">
        <v>0.04</v>
      </c>
      <c r="P9" s="10">
        <v>107</v>
      </c>
      <c r="Q9" s="10">
        <v>101.3</v>
      </c>
    </row>
    <row r="10" spans="1:18" ht="18" x14ac:dyDescent="0.2">
      <c r="A10" s="20" t="s">
        <v>27</v>
      </c>
      <c r="B10" s="30">
        <v>215000</v>
      </c>
      <c r="C10" s="23">
        <v>12</v>
      </c>
      <c r="D10" t="s">
        <v>211</v>
      </c>
      <c r="E10" s="2" t="s">
        <v>16</v>
      </c>
      <c r="F10" s="9">
        <v>39</v>
      </c>
      <c r="G10" s="9">
        <v>1221</v>
      </c>
      <c r="H10" s="10">
        <v>25.1</v>
      </c>
      <c r="I10" s="9">
        <v>30588</v>
      </c>
      <c r="J10" s="11">
        <v>6.6</v>
      </c>
      <c r="K10" s="11">
        <v>4.4000000000000004</v>
      </c>
      <c r="L10" s="11">
        <v>2.2000000000000002</v>
      </c>
      <c r="M10" s="11">
        <v>0.22</v>
      </c>
      <c r="N10" s="11">
        <v>0.14000000000000001</v>
      </c>
      <c r="O10" s="11">
        <v>7.0000000000000007E-2</v>
      </c>
      <c r="P10" s="10">
        <v>113.5</v>
      </c>
      <c r="Q10" s="10">
        <v>95.7</v>
      </c>
    </row>
    <row r="11" spans="1:18" ht="18" x14ac:dyDescent="0.2">
      <c r="A11" s="20" t="s">
        <v>26</v>
      </c>
      <c r="B11" s="30">
        <v>215000</v>
      </c>
      <c r="C11" s="23">
        <v>6</v>
      </c>
      <c r="D11" t="s">
        <v>211</v>
      </c>
      <c r="E11" s="2" t="s">
        <v>16</v>
      </c>
      <c r="F11" s="9">
        <v>39</v>
      </c>
      <c r="G11" s="9">
        <v>1039</v>
      </c>
      <c r="H11" s="10">
        <v>19.600000000000001</v>
      </c>
      <c r="I11" s="9">
        <v>20393</v>
      </c>
      <c r="J11" s="11">
        <v>4</v>
      </c>
      <c r="K11" s="11">
        <v>2.4</v>
      </c>
      <c r="L11" s="11">
        <v>1.6</v>
      </c>
      <c r="M11" s="11">
        <v>0.15</v>
      </c>
      <c r="N11" s="11">
        <v>0.09</v>
      </c>
      <c r="O11" s="11">
        <v>0.06</v>
      </c>
      <c r="P11" s="10">
        <v>105.5</v>
      </c>
      <c r="Q11" s="10">
        <v>98.1</v>
      </c>
    </row>
    <row r="12" spans="1:18" ht="18" x14ac:dyDescent="0.2">
      <c r="A12" s="20" t="s">
        <v>32</v>
      </c>
      <c r="B12" s="30">
        <v>214466</v>
      </c>
      <c r="C12" s="23">
        <v>9</v>
      </c>
      <c r="D12" t="s">
        <v>211</v>
      </c>
      <c r="E12" s="2" t="s">
        <v>29</v>
      </c>
      <c r="F12" s="9">
        <v>44</v>
      </c>
      <c r="G12" s="9">
        <v>1169</v>
      </c>
      <c r="H12" s="10">
        <v>22.4</v>
      </c>
      <c r="I12" s="9">
        <v>26216</v>
      </c>
      <c r="J12" s="11">
        <v>6.3</v>
      </c>
      <c r="K12" s="11">
        <v>4.2</v>
      </c>
      <c r="L12" s="11">
        <v>2.1</v>
      </c>
      <c r="M12" s="11">
        <v>0.22</v>
      </c>
      <c r="N12" s="11">
        <v>0.14000000000000001</v>
      </c>
      <c r="O12" s="11">
        <v>7.0000000000000007E-2</v>
      </c>
      <c r="P12" s="10">
        <v>119.1</v>
      </c>
      <c r="Q12" s="10">
        <v>95.9</v>
      </c>
    </row>
    <row r="13" spans="1:18" ht="18" x14ac:dyDescent="0.2">
      <c r="A13" s="20" t="s">
        <v>28</v>
      </c>
      <c r="B13" s="30">
        <v>214466</v>
      </c>
      <c r="C13" s="23">
        <v>13</v>
      </c>
      <c r="D13" t="s">
        <v>211</v>
      </c>
      <c r="E13" s="2" t="s">
        <v>29</v>
      </c>
      <c r="F13" s="9">
        <v>39</v>
      </c>
      <c r="G13" s="9">
        <v>810</v>
      </c>
      <c r="H13" s="10">
        <v>16.2</v>
      </c>
      <c r="I13" s="9">
        <v>13154</v>
      </c>
      <c r="J13" s="11">
        <v>2.4</v>
      </c>
      <c r="K13" s="11">
        <v>1.1000000000000001</v>
      </c>
      <c r="L13" s="11">
        <v>1.4</v>
      </c>
      <c r="M13" s="11">
        <v>0.12</v>
      </c>
      <c r="N13" s="11">
        <v>0.05</v>
      </c>
      <c r="O13" s="11">
        <v>7.0000000000000007E-2</v>
      </c>
      <c r="P13" s="10">
        <v>102.1</v>
      </c>
      <c r="Q13" s="10">
        <v>96.6</v>
      </c>
    </row>
    <row r="14" spans="1:18" ht="18" x14ac:dyDescent="0.2">
      <c r="A14" s="20" t="s">
        <v>30</v>
      </c>
      <c r="B14" s="30">
        <v>214466</v>
      </c>
      <c r="C14" s="23">
        <v>10</v>
      </c>
      <c r="D14" t="s">
        <v>211</v>
      </c>
      <c r="E14" s="2" t="s">
        <v>29</v>
      </c>
      <c r="F14" s="9">
        <v>44</v>
      </c>
      <c r="G14" s="9">
        <v>1060</v>
      </c>
      <c r="H14" s="10">
        <v>19.100000000000001</v>
      </c>
      <c r="I14" s="9">
        <v>20269</v>
      </c>
      <c r="J14" s="11">
        <v>4.0999999999999996</v>
      </c>
      <c r="K14" s="11">
        <v>2.4</v>
      </c>
      <c r="L14" s="11">
        <v>1.7</v>
      </c>
      <c r="M14" s="11">
        <v>0.15</v>
      </c>
      <c r="N14" s="11">
        <v>0.09</v>
      </c>
      <c r="O14" s="11">
        <v>0.06</v>
      </c>
      <c r="P14" s="10">
        <v>109.3</v>
      </c>
      <c r="Q14" s="10">
        <v>97.4</v>
      </c>
    </row>
    <row r="15" spans="1:18" ht="18" x14ac:dyDescent="0.2">
      <c r="A15" s="20" t="s">
        <v>31</v>
      </c>
      <c r="B15" s="30">
        <v>214466</v>
      </c>
      <c r="C15" s="23">
        <v>13</v>
      </c>
      <c r="D15" t="s">
        <v>211</v>
      </c>
      <c r="E15" s="2" t="s">
        <v>29</v>
      </c>
      <c r="F15" s="9">
        <v>43</v>
      </c>
      <c r="G15" s="9">
        <v>1343</v>
      </c>
      <c r="H15" s="10">
        <v>18.8</v>
      </c>
      <c r="I15" s="9">
        <v>25297</v>
      </c>
      <c r="J15" s="11">
        <v>4.8</v>
      </c>
      <c r="K15" s="11">
        <v>3.4</v>
      </c>
      <c r="L15" s="11">
        <v>1.3</v>
      </c>
      <c r="M15" s="11">
        <v>0.14000000000000001</v>
      </c>
      <c r="N15" s="11">
        <v>0.1</v>
      </c>
      <c r="O15" s="11">
        <v>0.04</v>
      </c>
      <c r="P15" s="10">
        <v>108.5</v>
      </c>
      <c r="Q15" s="10">
        <v>102.1</v>
      </c>
    </row>
    <row r="16" spans="1:18" ht="18" x14ac:dyDescent="0.2">
      <c r="A16" s="20" t="s">
        <v>33</v>
      </c>
      <c r="B16" s="31">
        <v>214284</v>
      </c>
      <c r="C16" s="23">
        <v>7</v>
      </c>
      <c r="D16" t="s">
        <v>212</v>
      </c>
      <c r="E16" s="2" t="s">
        <v>18</v>
      </c>
      <c r="F16" s="21">
        <v>33</v>
      </c>
      <c r="G16" s="9">
        <v>1065</v>
      </c>
      <c r="H16" s="10">
        <v>30.2</v>
      </c>
      <c r="I16" s="9">
        <v>32106</v>
      </c>
      <c r="J16" s="11">
        <v>7.6</v>
      </c>
      <c r="K16" s="11">
        <v>5.4</v>
      </c>
      <c r="L16" s="11">
        <v>2.2000000000000002</v>
      </c>
      <c r="M16" s="11">
        <v>0.28999999999999998</v>
      </c>
      <c r="N16" s="11">
        <v>0.2</v>
      </c>
      <c r="O16" s="11">
        <v>0.08</v>
      </c>
      <c r="P16" s="10">
        <v>122.9</v>
      </c>
      <c r="Q16" s="10">
        <v>93.8</v>
      </c>
    </row>
    <row r="17" spans="1:17" ht="18" x14ac:dyDescent="0.2">
      <c r="A17" s="20" t="s">
        <v>34</v>
      </c>
      <c r="B17" s="30">
        <v>210000</v>
      </c>
      <c r="C17" s="23">
        <v>7</v>
      </c>
      <c r="D17" t="s">
        <v>212</v>
      </c>
      <c r="E17" s="2" t="s">
        <v>35</v>
      </c>
      <c r="F17" s="9">
        <v>35</v>
      </c>
      <c r="G17" s="9">
        <v>1103</v>
      </c>
      <c r="H17" s="10">
        <v>11.3</v>
      </c>
      <c r="I17" s="9">
        <v>12490</v>
      </c>
      <c r="J17" s="11">
        <v>-0.1</v>
      </c>
      <c r="K17" s="11">
        <v>0</v>
      </c>
      <c r="L17" s="11">
        <v>-0.1</v>
      </c>
      <c r="M17" s="11">
        <v>0</v>
      </c>
      <c r="N17" s="11">
        <v>0</v>
      </c>
      <c r="O17" s="11">
        <v>0</v>
      </c>
      <c r="P17" s="10">
        <v>91.9</v>
      </c>
      <c r="Q17" s="10">
        <v>110.6</v>
      </c>
    </row>
    <row r="18" spans="1:17" ht="18" x14ac:dyDescent="0.2">
      <c r="A18" s="20" t="s">
        <v>36</v>
      </c>
      <c r="B18" s="30">
        <v>209000</v>
      </c>
      <c r="C18" s="23">
        <v>10</v>
      </c>
      <c r="D18" t="s">
        <v>212</v>
      </c>
      <c r="E18" s="2" t="s">
        <v>29</v>
      </c>
      <c r="F18" s="9">
        <v>31</v>
      </c>
      <c r="G18" s="9">
        <v>830</v>
      </c>
      <c r="H18" s="10">
        <v>20.399999999999999</v>
      </c>
      <c r="I18" s="9">
        <v>16905</v>
      </c>
      <c r="J18" s="11">
        <v>3.4</v>
      </c>
      <c r="K18" s="11">
        <v>2.2000000000000002</v>
      </c>
      <c r="L18" s="11">
        <v>1.3</v>
      </c>
      <c r="M18" s="11">
        <v>0.17</v>
      </c>
      <c r="N18" s="11">
        <v>0.1</v>
      </c>
      <c r="O18" s="11">
        <v>0.06</v>
      </c>
      <c r="P18" s="10">
        <v>110.8</v>
      </c>
      <c r="Q18" s="10">
        <v>97.9</v>
      </c>
    </row>
    <row r="19" spans="1:17" ht="18" x14ac:dyDescent="0.2">
      <c r="A19" s="20" t="s">
        <v>37</v>
      </c>
      <c r="B19" s="31">
        <v>205908</v>
      </c>
      <c r="C19" s="23">
        <v>16</v>
      </c>
      <c r="D19" t="s">
        <v>212</v>
      </c>
      <c r="E19" s="2" t="s">
        <v>29</v>
      </c>
      <c r="F19" s="9">
        <v>42</v>
      </c>
      <c r="G19" s="9">
        <v>828</v>
      </c>
      <c r="H19" s="10">
        <v>7.1</v>
      </c>
      <c r="I19" s="9">
        <v>5868</v>
      </c>
      <c r="J19" s="11">
        <v>1</v>
      </c>
      <c r="K19" s="11">
        <v>0.3</v>
      </c>
      <c r="L19" s="11">
        <v>0.8</v>
      </c>
      <c r="M19" s="11">
        <v>0.05</v>
      </c>
      <c r="N19" s="11">
        <v>0.01</v>
      </c>
      <c r="O19" s="11">
        <v>0.04</v>
      </c>
      <c r="P19" s="10">
        <v>97.3</v>
      </c>
      <c r="Q19" s="10">
        <v>102.9</v>
      </c>
    </row>
    <row r="20" spans="1:17" ht="18" x14ac:dyDescent="0.2">
      <c r="A20" s="20" t="s">
        <v>38</v>
      </c>
      <c r="B20" s="30">
        <v>205000</v>
      </c>
      <c r="C20" s="23">
        <v>12</v>
      </c>
      <c r="D20" t="s">
        <v>212</v>
      </c>
      <c r="E20" s="2" t="s">
        <v>29</v>
      </c>
      <c r="F20" s="9">
        <v>39</v>
      </c>
      <c r="G20" s="9">
        <v>1220</v>
      </c>
      <c r="H20" s="10">
        <v>16.100000000000001</v>
      </c>
      <c r="I20" s="9">
        <v>19646</v>
      </c>
      <c r="J20" s="11">
        <v>4.5</v>
      </c>
      <c r="K20" s="11">
        <v>3.1</v>
      </c>
      <c r="L20" s="11">
        <v>1.4</v>
      </c>
      <c r="M20" s="11">
        <v>0.15</v>
      </c>
      <c r="N20" s="11">
        <v>0.1</v>
      </c>
      <c r="O20" s="11">
        <v>0.05</v>
      </c>
      <c r="P20" s="10">
        <v>113.3</v>
      </c>
      <c r="Q20" s="10">
        <v>101.2</v>
      </c>
    </row>
    <row r="21" spans="1:17" ht="18" x14ac:dyDescent="0.2">
      <c r="A21" s="20" t="s">
        <v>39</v>
      </c>
      <c r="B21" s="30">
        <v>203000</v>
      </c>
      <c r="C21" s="23">
        <v>8</v>
      </c>
      <c r="D21" t="s">
        <v>212</v>
      </c>
      <c r="E21" s="2" t="s">
        <v>29</v>
      </c>
      <c r="F21" s="9">
        <v>40</v>
      </c>
      <c r="G21" s="9">
        <v>882</v>
      </c>
      <c r="H21" s="10">
        <v>13.5</v>
      </c>
      <c r="I21" s="9">
        <v>11924</v>
      </c>
      <c r="J21" s="11">
        <v>1.1000000000000001</v>
      </c>
      <c r="K21" s="11">
        <v>0.6</v>
      </c>
      <c r="L21" s="11">
        <v>0.5</v>
      </c>
      <c r="M21" s="11">
        <v>0.05</v>
      </c>
      <c r="N21" s="11">
        <v>0.03</v>
      </c>
      <c r="O21" s="11">
        <v>0.02</v>
      </c>
      <c r="P21" s="10">
        <v>97.7</v>
      </c>
      <c r="Q21" s="10">
        <v>105.4</v>
      </c>
    </row>
    <row r="22" spans="1:17" ht="18" x14ac:dyDescent="0.2">
      <c r="A22" s="20" t="s">
        <v>40</v>
      </c>
      <c r="B22" s="30">
        <v>202000</v>
      </c>
      <c r="C22" s="23">
        <v>11</v>
      </c>
      <c r="D22" t="s">
        <v>212</v>
      </c>
      <c r="E22" s="2" t="s">
        <v>18</v>
      </c>
      <c r="F22" s="9">
        <v>44</v>
      </c>
      <c r="G22" s="9">
        <v>1374</v>
      </c>
      <c r="H22" s="10">
        <v>23.7</v>
      </c>
      <c r="I22" s="9">
        <v>32604</v>
      </c>
      <c r="J22" s="11">
        <v>5.5</v>
      </c>
      <c r="K22" s="11">
        <v>4.7</v>
      </c>
      <c r="L22" s="11">
        <v>0.9</v>
      </c>
      <c r="M22" s="11">
        <v>0.16</v>
      </c>
      <c r="N22" s="11">
        <v>0.14000000000000001</v>
      </c>
      <c r="O22" s="11">
        <v>0.03</v>
      </c>
      <c r="P22" s="10">
        <v>113.7</v>
      </c>
      <c r="Q22" s="10">
        <v>105</v>
      </c>
    </row>
    <row r="23" spans="1:17" ht="18" x14ac:dyDescent="0.2">
      <c r="A23" s="20" t="s">
        <v>41</v>
      </c>
      <c r="B23" s="30">
        <v>202000</v>
      </c>
      <c r="C23" s="23">
        <v>9</v>
      </c>
      <c r="D23" t="s">
        <v>212</v>
      </c>
      <c r="E23" s="2" t="s">
        <v>16</v>
      </c>
      <c r="F23" s="9">
        <v>43</v>
      </c>
      <c r="G23" s="9">
        <v>1508</v>
      </c>
      <c r="H23" s="10">
        <v>18.100000000000001</v>
      </c>
      <c r="I23" s="9">
        <v>27311</v>
      </c>
      <c r="J23" s="11">
        <v>4.5</v>
      </c>
      <c r="K23" s="11">
        <v>4.5999999999999996</v>
      </c>
      <c r="L23" s="11">
        <v>-0.1</v>
      </c>
      <c r="M23" s="11">
        <v>0.12</v>
      </c>
      <c r="N23" s="11">
        <v>0.12</v>
      </c>
      <c r="O23" s="11">
        <v>0</v>
      </c>
      <c r="P23" s="10">
        <v>111.4</v>
      </c>
      <c r="Q23" s="10">
        <v>110.5</v>
      </c>
    </row>
    <row r="24" spans="1:17" ht="18" x14ac:dyDescent="0.2">
      <c r="A24" s="20" t="s">
        <v>42</v>
      </c>
      <c r="B24" s="32">
        <v>201400</v>
      </c>
      <c r="C24" s="23">
        <v>7</v>
      </c>
      <c r="D24" t="s">
        <v>212</v>
      </c>
      <c r="E24" s="2" t="s">
        <v>35</v>
      </c>
      <c r="F24" s="9">
        <v>17</v>
      </c>
      <c r="G24" s="9">
        <v>219</v>
      </c>
      <c r="H24" s="10">
        <v>19.600000000000001</v>
      </c>
      <c r="I24" s="9">
        <v>4280</v>
      </c>
      <c r="J24" s="11">
        <v>0.7</v>
      </c>
      <c r="K24" s="11">
        <v>0.5</v>
      </c>
      <c r="L24" s="11">
        <v>0.2</v>
      </c>
      <c r="M24" s="11">
        <v>0.13</v>
      </c>
      <c r="N24" s="11">
        <v>0.1</v>
      </c>
      <c r="O24" s="11">
        <v>0.03</v>
      </c>
      <c r="P24" s="10">
        <v>113</v>
      </c>
      <c r="Q24" s="10">
        <v>104.5</v>
      </c>
    </row>
    <row r="25" spans="1:17" ht="18" x14ac:dyDescent="0.2">
      <c r="A25" s="20" t="s">
        <v>46</v>
      </c>
      <c r="B25" s="30">
        <v>200000</v>
      </c>
      <c r="C25" s="23">
        <v>8</v>
      </c>
      <c r="D25" t="s">
        <v>212</v>
      </c>
      <c r="E25" s="2" t="s">
        <v>35</v>
      </c>
      <c r="F25" s="9">
        <v>40</v>
      </c>
      <c r="G25" s="9">
        <v>1247</v>
      </c>
      <c r="H25" s="10">
        <v>33.1</v>
      </c>
      <c r="I25" s="9">
        <v>41343</v>
      </c>
      <c r="J25" s="11">
        <v>8.9</v>
      </c>
      <c r="K25" s="11">
        <v>6.3</v>
      </c>
      <c r="L25" s="11">
        <v>2.6</v>
      </c>
      <c r="M25" s="11">
        <v>0.28999999999999998</v>
      </c>
      <c r="N25" s="11">
        <v>0.2</v>
      </c>
      <c r="O25" s="11">
        <v>0.08</v>
      </c>
      <c r="P25" s="10">
        <v>118.6</v>
      </c>
      <c r="Q25" s="10">
        <v>93.3</v>
      </c>
    </row>
    <row r="26" spans="1:17" ht="18" x14ac:dyDescent="0.2">
      <c r="A26" s="20" t="s">
        <v>45</v>
      </c>
      <c r="B26" s="30">
        <v>200000</v>
      </c>
      <c r="C26" s="23">
        <v>5</v>
      </c>
      <c r="D26" t="s">
        <v>212</v>
      </c>
      <c r="E26" s="2" t="s">
        <v>35</v>
      </c>
      <c r="F26" s="9">
        <v>31</v>
      </c>
      <c r="G26" s="9">
        <v>680</v>
      </c>
      <c r="H26" s="10">
        <v>12.9</v>
      </c>
      <c r="I26" s="9">
        <v>8768</v>
      </c>
      <c r="J26" s="11">
        <v>0.8</v>
      </c>
      <c r="K26" s="11">
        <v>0.3</v>
      </c>
      <c r="L26" s="11">
        <v>0.5</v>
      </c>
      <c r="M26" s="11">
        <v>0.05</v>
      </c>
      <c r="N26" s="11">
        <v>0.02</v>
      </c>
      <c r="O26" s="11">
        <v>0.03</v>
      </c>
      <c r="P26" s="10">
        <v>95.2</v>
      </c>
      <c r="Q26" s="10">
        <v>103.9</v>
      </c>
    </row>
    <row r="27" spans="1:17" ht="18" x14ac:dyDescent="0.2">
      <c r="A27" s="20" t="s">
        <v>44</v>
      </c>
      <c r="B27" s="30">
        <v>200000</v>
      </c>
      <c r="C27" s="23">
        <v>8</v>
      </c>
      <c r="D27" t="s">
        <v>212</v>
      </c>
      <c r="E27" s="2" t="s">
        <v>29</v>
      </c>
      <c r="F27" s="9">
        <v>41</v>
      </c>
      <c r="G27" s="9">
        <v>1191</v>
      </c>
      <c r="H27" s="10">
        <v>14.3</v>
      </c>
      <c r="I27" s="9">
        <v>16970</v>
      </c>
      <c r="J27" s="11">
        <v>3.5</v>
      </c>
      <c r="K27" s="11">
        <v>2.2000000000000002</v>
      </c>
      <c r="L27" s="11">
        <v>1.3</v>
      </c>
      <c r="M27" s="11">
        <v>0.12</v>
      </c>
      <c r="N27" s="11">
        <v>7.0000000000000007E-2</v>
      </c>
      <c r="O27" s="11">
        <v>0.04</v>
      </c>
      <c r="P27" s="10">
        <v>108.1</v>
      </c>
      <c r="Q27" s="10">
        <v>101.7</v>
      </c>
    </row>
    <row r="28" spans="1:17" ht="18" x14ac:dyDescent="0.2">
      <c r="A28" s="20" t="s">
        <v>43</v>
      </c>
      <c r="B28" s="31">
        <v>200000</v>
      </c>
      <c r="C28" s="23">
        <v>13</v>
      </c>
      <c r="D28" t="s">
        <v>212</v>
      </c>
      <c r="E28" s="2" t="s">
        <v>29</v>
      </c>
      <c r="F28" s="9">
        <v>26</v>
      </c>
      <c r="G28" s="9">
        <v>700</v>
      </c>
      <c r="H28" s="10">
        <v>14.1</v>
      </c>
      <c r="I28" s="9">
        <v>9863</v>
      </c>
      <c r="J28" s="11">
        <v>2</v>
      </c>
      <c r="K28" s="11">
        <v>1.3</v>
      </c>
      <c r="L28" s="11">
        <v>0.7</v>
      </c>
      <c r="M28" s="11">
        <v>0.12</v>
      </c>
      <c r="N28" s="11">
        <v>0.08</v>
      </c>
      <c r="O28" s="11">
        <v>0.04</v>
      </c>
      <c r="P28" s="10">
        <v>106.7</v>
      </c>
      <c r="Q28" s="10">
        <v>101.9</v>
      </c>
    </row>
    <row r="29" spans="1:17" ht="18" x14ac:dyDescent="0.2">
      <c r="A29" s="20" t="s">
        <v>47</v>
      </c>
      <c r="B29" s="30">
        <v>196267</v>
      </c>
      <c r="C29" s="23">
        <v>12</v>
      </c>
      <c r="D29" t="s">
        <v>212</v>
      </c>
      <c r="E29" s="2" t="s">
        <v>29</v>
      </c>
      <c r="F29" s="9">
        <v>44</v>
      </c>
      <c r="G29" s="9">
        <v>1368</v>
      </c>
      <c r="H29" s="10">
        <v>15.3</v>
      </c>
      <c r="I29" s="9">
        <v>20967</v>
      </c>
      <c r="J29" s="11">
        <v>3.7</v>
      </c>
      <c r="K29" s="11">
        <v>2.2000000000000002</v>
      </c>
      <c r="L29" s="11">
        <v>1.4</v>
      </c>
      <c r="M29" s="11">
        <v>0.11</v>
      </c>
      <c r="N29" s="11">
        <v>7.0000000000000007E-2</v>
      </c>
      <c r="O29" s="11">
        <v>0.04</v>
      </c>
      <c r="P29" s="10">
        <v>105.5</v>
      </c>
      <c r="Q29" s="10">
        <v>101.9</v>
      </c>
    </row>
    <row r="30" spans="1:17" ht="18" x14ac:dyDescent="0.2">
      <c r="A30" s="20" t="s">
        <v>49</v>
      </c>
      <c r="B30" s="30">
        <v>195000</v>
      </c>
      <c r="C30" s="23">
        <v>8</v>
      </c>
      <c r="D30" t="s">
        <v>212</v>
      </c>
      <c r="E30" s="2" t="s">
        <v>29</v>
      </c>
      <c r="F30" s="9">
        <v>44</v>
      </c>
      <c r="G30" s="9">
        <v>1249</v>
      </c>
      <c r="H30" s="10">
        <v>20</v>
      </c>
      <c r="I30" s="9">
        <v>24953</v>
      </c>
      <c r="J30" s="11">
        <v>4.5</v>
      </c>
      <c r="K30" s="11">
        <v>3.4</v>
      </c>
      <c r="L30" s="11">
        <v>1.1000000000000001</v>
      </c>
      <c r="M30" s="11">
        <v>0.14000000000000001</v>
      </c>
      <c r="N30" s="11">
        <v>0.11</v>
      </c>
      <c r="O30" s="11">
        <v>0.04</v>
      </c>
      <c r="P30" s="10">
        <v>115.5</v>
      </c>
      <c r="Q30" s="10">
        <v>102.9</v>
      </c>
    </row>
    <row r="31" spans="1:17" ht="18" x14ac:dyDescent="0.2">
      <c r="A31" s="20" t="s">
        <v>48</v>
      </c>
      <c r="B31" s="30">
        <v>195000</v>
      </c>
      <c r="C31" s="23">
        <v>9</v>
      </c>
      <c r="D31" t="s">
        <v>212</v>
      </c>
      <c r="E31" s="2" t="s">
        <v>29</v>
      </c>
      <c r="F31" s="9">
        <v>39</v>
      </c>
      <c r="G31" s="9">
        <v>1193</v>
      </c>
      <c r="H31" s="10">
        <v>13.5</v>
      </c>
      <c r="I31" s="9">
        <v>16124</v>
      </c>
      <c r="J31" s="11">
        <v>2.1</v>
      </c>
      <c r="K31" s="11">
        <v>1</v>
      </c>
      <c r="L31" s="11">
        <v>1.1000000000000001</v>
      </c>
      <c r="M31" s="11">
        <v>7.0000000000000007E-2</v>
      </c>
      <c r="N31" s="11">
        <v>0.03</v>
      </c>
      <c r="O31" s="11">
        <v>0.04</v>
      </c>
      <c r="P31" s="10">
        <v>97.7</v>
      </c>
      <c r="Q31" s="10">
        <v>102.9</v>
      </c>
    </row>
    <row r="32" spans="1:17" ht="18" x14ac:dyDescent="0.2">
      <c r="A32" s="20" t="s">
        <v>50</v>
      </c>
      <c r="B32" s="30">
        <v>195000</v>
      </c>
      <c r="C32" s="23">
        <v>14</v>
      </c>
      <c r="D32" t="s">
        <v>212</v>
      </c>
      <c r="E32" s="2" t="s">
        <v>29</v>
      </c>
      <c r="F32" s="9">
        <v>44</v>
      </c>
      <c r="G32" s="9">
        <v>1359</v>
      </c>
      <c r="H32" s="10">
        <v>22</v>
      </c>
      <c r="I32" s="9">
        <v>29825</v>
      </c>
      <c r="J32" s="11">
        <v>5.6</v>
      </c>
      <c r="K32" s="11">
        <v>3.7</v>
      </c>
      <c r="L32" s="11">
        <v>1.9</v>
      </c>
      <c r="M32" s="11">
        <v>0.16</v>
      </c>
      <c r="N32" s="11">
        <v>0.11</v>
      </c>
      <c r="O32" s="11">
        <v>0.06</v>
      </c>
      <c r="P32" s="10">
        <v>110.3</v>
      </c>
      <c r="Q32" s="10">
        <v>99</v>
      </c>
    </row>
    <row r="33" spans="1:17" ht="18" x14ac:dyDescent="0.2">
      <c r="A33" s="20" t="s">
        <v>52</v>
      </c>
      <c r="B33" s="30">
        <v>190000</v>
      </c>
      <c r="C33" s="23">
        <v>9</v>
      </c>
      <c r="D33" t="s">
        <v>212</v>
      </c>
      <c r="E33" s="2" t="s">
        <v>35</v>
      </c>
      <c r="F33" s="9">
        <v>42</v>
      </c>
      <c r="G33" s="9">
        <v>1451</v>
      </c>
      <c r="H33" s="10">
        <v>19.600000000000001</v>
      </c>
      <c r="I33" s="9">
        <v>28457</v>
      </c>
      <c r="J33" s="11">
        <v>7.2</v>
      </c>
      <c r="K33" s="11">
        <v>5.2</v>
      </c>
      <c r="L33" s="11">
        <v>2</v>
      </c>
      <c r="M33" s="11">
        <v>0.2</v>
      </c>
      <c r="N33" s="11">
        <v>0.14000000000000001</v>
      </c>
      <c r="O33" s="11">
        <v>0.06</v>
      </c>
      <c r="P33" s="10">
        <v>119</v>
      </c>
      <c r="Q33" s="10">
        <v>99.2</v>
      </c>
    </row>
    <row r="34" spans="1:17" ht="18" x14ac:dyDescent="0.2">
      <c r="A34" s="20" t="s">
        <v>51</v>
      </c>
      <c r="B34" s="30">
        <v>190000</v>
      </c>
      <c r="C34" s="23">
        <v>8</v>
      </c>
      <c r="D34" t="s">
        <v>212</v>
      </c>
      <c r="E34" s="2" t="s">
        <v>29</v>
      </c>
      <c r="F34" s="9">
        <v>28</v>
      </c>
      <c r="G34" s="9">
        <v>783</v>
      </c>
      <c r="H34" s="10">
        <v>16.5</v>
      </c>
      <c r="I34" s="9">
        <v>12900</v>
      </c>
      <c r="J34" s="11">
        <v>2.7</v>
      </c>
      <c r="K34" s="11">
        <v>1.3</v>
      </c>
      <c r="L34" s="11">
        <v>1.4</v>
      </c>
      <c r="M34" s="11">
        <v>0.14000000000000001</v>
      </c>
      <c r="N34" s="11">
        <v>7.0000000000000007E-2</v>
      </c>
      <c r="O34" s="11">
        <v>7.0000000000000007E-2</v>
      </c>
      <c r="P34" s="10">
        <v>104</v>
      </c>
      <c r="Q34" s="10">
        <v>96.4</v>
      </c>
    </row>
    <row r="35" spans="1:17" ht="19" customHeight="1" x14ac:dyDescent="0.2">
      <c r="A35" s="20" t="s">
        <v>53</v>
      </c>
      <c r="B35" s="30">
        <v>186000</v>
      </c>
      <c r="C35" s="23">
        <v>7</v>
      </c>
      <c r="D35" t="s">
        <v>212</v>
      </c>
      <c r="E35" s="2" t="s">
        <v>54</v>
      </c>
      <c r="F35" s="9">
        <v>44</v>
      </c>
      <c r="G35" s="9">
        <v>1203</v>
      </c>
      <c r="H35" s="10">
        <v>15.9</v>
      </c>
      <c r="I35" s="9">
        <v>19090</v>
      </c>
      <c r="J35" s="11">
        <v>4.2</v>
      </c>
      <c r="K35" s="11">
        <v>2.2999999999999998</v>
      </c>
      <c r="L35" s="11">
        <v>1.9</v>
      </c>
      <c r="M35" s="11">
        <v>0.14000000000000001</v>
      </c>
      <c r="N35" s="11">
        <v>0.08</v>
      </c>
      <c r="O35" s="11">
        <v>0.06</v>
      </c>
      <c r="P35" s="10">
        <v>112.9</v>
      </c>
      <c r="Q35" s="10">
        <v>97.5</v>
      </c>
    </row>
    <row r="36" spans="1:17" ht="18" x14ac:dyDescent="0.2">
      <c r="A36" s="20" t="s">
        <v>55</v>
      </c>
      <c r="B36" s="31">
        <v>185000</v>
      </c>
      <c r="C36" s="23">
        <v>15</v>
      </c>
      <c r="D36" t="s">
        <v>212</v>
      </c>
      <c r="E36" s="2" t="s">
        <v>29</v>
      </c>
      <c r="F36" s="9">
        <v>7</v>
      </c>
      <c r="G36" s="9">
        <v>191</v>
      </c>
      <c r="H36" s="10">
        <v>15.4</v>
      </c>
      <c r="I36" s="9">
        <v>2937</v>
      </c>
      <c r="J36" s="11">
        <v>0.3</v>
      </c>
      <c r="K36" s="11">
        <v>0.2</v>
      </c>
      <c r="L36" s="11">
        <v>0.1</v>
      </c>
      <c r="M36" s="11">
        <v>7.0000000000000007E-2</v>
      </c>
      <c r="N36" s="11">
        <v>0.05</v>
      </c>
      <c r="O36" s="11">
        <v>0.02</v>
      </c>
      <c r="P36" s="10">
        <v>101.6</v>
      </c>
      <c r="Q36" s="10">
        <v>106.7</v>
      </c>
    </row>
    <row r="37" spans="1:17" ht="18" x14ac:dyDescent="0.2">
      <c r="A37" s="20" t="s">
        <v>56</v>
      </c>
      <c r="B37" s="30">
        <v>180000</v>
      </c>
      <c r="C37" s="23">
        <v>10</v>
      </c>
      <c r="D37" t="s">
        <v>212</v>
      </c>
      <c r="E37" s="2" t="s">
        <v>29</v>
      </c>
      <c r="F37" s="9">
        <v>44</v>
      </c>
      <c r="G37" s="9">
        <v>1260</v>
      </c>
      <c r="H37" s="10">
        <v>18.100000000000001</v>
      </c>
      <c r="I37" s="9">
        <v>22825</v>
      </c>
      <c r="J37" s="11">
        <v>4.5</v>
      </c>
      <c r="K37" s="11">
        <v>2.5</v>
      </c>
      <c r="L37" s="11">
        <v>2.1</v>
      </c>
      <c r="M37" s="11">
        <v>0.14000000000000001</v>
      </c>
      <c r="N37" s="11">
        <v>0.08</v>
      </c>
      <c r="O37" s="11">
        <v>7.0000000000000007E-2</v>
      </c>
      <c r="P37" s="10">
        <v>104.1</v>
      </c>
      <c r="Q37" s="10">
        <v>97.1</v>
      </c>
    </row>
    <row r="38" spans="1:17" ht="18" x14ac:dyDescent="0.2">
      <c r="A38" s="20" t="s">
        <v>57</v>
      </c>
      <c r="B38" s="30">
        <v>170000</v>
      </c>
      <c r="C38" s="23">
        <v>12</v>
      </c>
      <c r="D38" t="s">
        <v>212</v>
      </c>
      <c r="E38" s="2" t="s">
        <v>29</v>
      </c>
      <c r="F38" s="9">
        <v>43</v>
      </c>
      <c r="G38" s="9">
        <v>653</v>
      </c>
      <c r="H38" s="10">
        <v>8.5</v>
      </c>
      <c r="I38" s="9">
        <v>5541</v>
      </c>
      <c r="J38" s="11">
        <v>1</v>
      </c>
      <c r="K38" s="11">
        <v>0.5</v>
      </c>
      <c r="L38" s="11">
        <v>0.5</v>
      </c>
      <c r="M38" s="11">
        <v>0.06</v>
      </c>
      <c r="N38" s="11">
        <v>0.03</v>
      </c>
      <c r="O38" s="11">
        <v>0.03</v>
      </c>
      <c r="P38" s="10">
        <v>102.3</v>
      </c>
      <c r="Q38" s="10">
        <v>104.2</v>
      </c>
    </row>
    <row r="39" spans="1:17" ht="18" x14ac:dyDescent="0.2">
      <c r="A39" s="20" t="s">
        <v>58</v>
      </c>
      <c r="B39" s="30">
        <v>170000</v>
      </c>
      <c r="C39" s="23">
        <v>16</v>
      </c>
      <c r="D39" t="s">
        <v>212</v>
      </c>
      <c r="E39" s="2" t="s">
        <v>29</v>
      </c>
      <c r="F39" s="9">
        <v>43</v>
      </c>
      <c r="G39" s="9">
        <v>1222</v>
      </c>
      <c r="H39" s="10">
        <v>17.899999999999999</v>
      </c>
      <c r="I39" s="9">
        <v>21819</v>
      </c>
      <c r="J39" s="11">
        <v>2.2000000000000002</v>
      </c>
      <c r="K39" s="11">
        <v>1.9</v>
      </c>
      <c r="L39" s="11">
        <v>0.2</v>
      </c>
      <c r="M39" s="11">
        <v>7.0000000000000007E-2</v>
      </c>
      <c r="N39" s="11">
        <v>0.06</v>
      </c>
      <c r="O39" s="11">
        <v>0.01</v>
      </c>
      <c r="P39" s="10">
        <v>101.6</v>
      </c>
      <c r="Q39" s="10">
        <v>108.5</v>
      </c>
    </row>
    <row r="40" spans="1:17" ht="18" x14ac:dyDescent="0.2">
      <c r="A40" s="20" t="s">
        <v>59</v>
      </c>
      <c r="B40" s="30">
        <v>169950</v>
      </c>
      <c r="C40" s="23">
        <v>7</v>
      </c>
      <c r="D40" t="s">
        <v>212</v>
      </c>
      <c r="E40" s="2" t="s">
        <v>18</v>
      </c>
      <c r="F40" s="9">
        <v>44</v>
      </c>
      <c r="G40" s="9">
        <v>1336</v>
      </c>
      <c r="H40" s="10">
        <v>22.1</v>
      </c>
      <c r="I40" s="9">
        <v>29572</v>
      </c>
      <c r="J40" s="11">
        <v>6.3</v>
      </c>
      <c r="K40" s="11">
        <v>5</v>
      </c>
      <c r="L40" s="11">
        <v>1.3</v>
      </c>
      <c r="M40" s="11">
        <v>0.19</v>
      </c>
      <c r="N40" s="11">
        <v>0.15</v>
      </c>
      <c r="O40" s="11">
        <v>0.04</v>
      </c>
      <c r="P40" s="10">
        <v>116.9</v>
      </c>
      <c r="Q40" s="10">
        <v>102.5</v>
      </c>
    </row>
    <row r="41" spans="1:17" ht="18" x14ac:dyDescent="0.2">
      <c r="A41" s="20" t="s">
        <v>70</v>
      </c>
      <c r="B41" s="32">
        <f>125000+35110</f>
        <v>160110</v>
      </c>
      <c r="C41" s="23">
        <v>8</v>
      </c>
      <c r="D41" t="s">
        <v>212</v>
      </c>
      <c r="E41" s="2" t="s">
        <v>29</v>
      </c>
      <c r="F41" s="9">
        <v>38</v>
      </c>
      <c r="G41" s="9">
        <v>541</v>
      </c>
      <c r="H41" s="10">
        <v>9.1</v>
      </c>
      <c r="I41" s="9">
        <v>4920</v>
      </c>
      <c r="J41" s="11">
        <v>0.7</v>
      </c>
      <c r="K41" s="11">
        <v>0.1</v>
      </c>
      <c r="L41" s="11">
        <v>0.6</v>
      </c>
      <c r="M41" s="11">
        <v>0.05</v>
      </c>
      <c r="N41" s="11">
        <v>0.01</v>
      </c>
      <c r="O41" s="11">
        <v>0.04</v>
      </c>
      <c r="P41" s="10">
        <v>94.5</v>
      </c>
      <c r="Q41" s="10">
        <v>101.4</v>
      </c>
    </row>
    <row r="42" spans="1:17" ht="18" x14ac:dyDescent="0.2">
      <c r="A42" s="20" t="s">
        <v>60</v>
      </c>
      <c r="B42" s="30">
        <v>160000</v>
      </c>
      <c r="C42" s="23">
        <v>10</v>
      </c>
      <c r="D42" t="s">
        <v>212</v>
      </c>
      <c r="E42" s="2" t="s">
        <v>29</v>
      </c>
      <c r="F42" s="9">
        <v>44</v>
      </c>
      <c r="G42" s="9">
        <v>821</v>
      </c>
      <c r="H42" s="10">
        <v>7.9</v>
      </c>
      <c r="I42" s="9">
        <v>6497</v>
      </c>
      <c r="J42" s="11">
        <v>0</v>
      </c>
      <c r="K42" s="11">
        <v>-0.1</v>
      </c>
      <c r="L42" s="11">
        <v>0.2</v>
      </c>
      <c r="M42" s="11">
        <v>0</v>
      </c>
      <c r="N42" s="11">
        <v>-0.01</v>
      </c>
      <c r="O42" s="11">
        <v>0.01</v>
      </c>
      <c r="P42" s="10">
        <v>90.2</v>
      </c>
      <c r="Q42" s="10">
        <v>108.6</v>
      </c>
    </row>
    <row r="43" spans="1:17" ht="18" x14ac:dyDescent="0.2">
      <c r="A43" s="20" t="s">
        <v>63</v>
      </c>
      <c r="B43" s="30">
        <v>150000</v>
      </c>
      <c r="C43" s="23">
        <v>7</v>
      </c>
      <c r="D43" t="s">
        <v>212</v>
      </c>
      <c r="E43" s="2" t="s">
        <v>29</v>
      </c>
      <c r="F43" s="9">
        <v>42</v>
      </c>
      <c r="G43" s="9">
        <v>1114</v>
      </c>
      <c r="H43" s="10">
        <v>18</v>
      </c>
      <c r="I43" s="9">
        <v>20095</v>
      </c>
      <c r="J43" s="11">
        <v>4.5</v>
      </c>
      <c r="K43" s="11">
        <v>2.2000000000000002</v>
      </c>
      <c r="L43" s="11">
        <v>2.2999999999999998</v>
      </c>
      <c r="M43" s="11">
        <v>0.16</v>
      </c>
      <c r="N43" s="11">
        <v>0.08</v>
      </c>
      <c r="O43" s="11">
        <v>0.08</v>
      </c>
      <c r="P43" s="10">
        <v>110</v>
      </c>
      <c r="Q43" s="10">
        <v>93.7</v>
      </c>
    </row>
    <row r="44" spans="1:17" ht="18" x14ac:dyDescent="0.2">
      <c r="A44" s="20" t="s">
        <v>62</v>
      </c>
      <c r="B44" s="30">
        <v>150000</v>
      </c>
      <c r="C44" s="23">
        <v>9</v>
      </c>
      <c r="D44" t="s">
        <v>212</v>
      </c>
      <c r="E44" s="2" t="s">
        <v>29</v>
      </c>
      <c r="F44" s="9">
        <v>44</v>
      </c>
      <c r="G44" s="9">
        <v>455</v>
      </c>
      <c r="H44" s="10">
        <v>14.1</v>
      </c>
      <c r="I44" s="9">
        <v>6402</v>
      </c>
      <c r="J44" s="11">
        <v>1.4</v>
      </c>
      <c r="K44" s="11">
        <v>0.6</v>
      </c>
      <c r="L44" s="11">
        <v>0.8</v>
      </c>
      <c r="M44" s="11">
        <v>0.12</v>
      </c>
      <c r="N44" s="11">
        <v>0.05</v>
      </c>
      <c r="O44" s="11">
        <v>7.0000000000000007E-2</v>
      </c>
      <c r="P44" s="10">
        <v>102.7</v>
      </c>
      <c r="Q44" s="10">
        <v>96.4</v>
      </c>
    </row>
    <row r="45" spans="1:17" ht="18" x14ac:dyDescent="0.2">
      <c r="A45" s="20" t="s">
        <v>61</v>
      </c>
      <c r="B45" s="30">
        <v>150000</v>
      </c>
      <c r="C45" s="23">
        <v>10</v>
      </c>
      <c r="D45" t="s">
        <v>212</v>
      </c>
      <c r="E45" s="2" t="s">
        <v>29</v>
      </c>
      <c r="F45" s="9">
        <v>41</v>
      </c>
      <c r="G45" s="9">
        <v>354</v>
      </c>
      <c r="H45" s="10">
        <v>7.8</v>
      </c>
      <c r="I45" s="9">
        <v>2759</v>
      </c>
      <c r="J45" s="11">
        <v>0.6</v>
      </c>
      <c r="K45" s="11">
        <v>0.1</v>
      </c>
      <c r="L45" s="11">
        <v>0.5</v>
      </c>
      <c r="M45" s="11">
        <v>7.0000000000000007E-2</v>
      </c>
      <c r="N45" s="11">
        <v>0.01</v>
      </c>
      <c r="O45" s="11">
        <v>0.06</v>
      </c>
      <c r="P45" s="10">
        <v>97.5</v>
      </c>
      <c r="Q45" s="10">
        <v>99</v>
      </c>
    </row>
    <row r="46" spans="1:17" ht="18" x14ac:dyDescent="0.2">
      <c r="A46" s="20" t="s">
        <v>64</v>
      </c>
      <c r="B46" s="32">
        <v>145500</v>
      </c>
      <c r="C46" s="23">
        <v>10</v>
      </c>
      <c r="D46" t="s">
        <v>212</v>
      </c>
      <c r="E46" s="2" t="s">
        <v>29</v>
      </c>
      <c r="F46" s="9">
        <v>5</v>
      </c>
      <c r="G46" s="9">
        <v>35</v>
      </c>
      <c r="H46" s="10">
        <v>9.3000000000000007</v>
      </c>
      <c r="I46" s="9">
        <v>327000</v>
      </c>
      <c r="J46" s="11">
        <v>0</v>
      </c>
      <c r="K46" s="11">
        <v>0</v>
      </c>
      <c r="L46" s="11">
        <v>0</v>
      </c>
      <c r="M46" s="11">
        <v>0.03</v>
      </c>
      <c r="N46" s="11">
        <v>0.04</v>
      </c>
      <c r="O46" s="11">
        <v>-0.01</v>
      </c>
      <c r="P46" s="10">
        <v>104.7</v>
      </c>
      <c r="Q46" s="10">
        <v>112</v>
      </c>
    </row>
    <row r="47" spans="1:17" ht="18" x14ac:dyDescent="0.2">
      <c r="A47" s="20" t="s">
        <v>65</v>
      </c>
      <c r="B47" s="31">
        <v>145000</v>
      </c>
      <c r="C47" s="23">
        <v>8</v>
      </c>
      <c r="D47" t="s">
        <v>212</v>
      </c>
      <c r="E47" s="2" t="s">
        <v>29</v>
      </c>
      <c r="F47" s="9">
        <v>44</v>
      </c>
      <c r="G47" s="9">
        <v>962</v>
      </c>
      <c r="H47" s="10">
        <v>7.3</v>
      </c>
      <c r="I47" s="9">
        <v>7004</v>
      </c>
      <c r="J47" s="11">
        <v>0</v>
      </c>
      <c r="K47" s="11">
        <v>0.3</v>
      </c>
      <c r="L47" s="11">
        <v>-0.3</v>
      </c>
      <c r="M47" s="11">
        <v>0</v>
      </c>
      <c r="N47" s="11">
        <v>0.01</v>
      </c>
      <c r="O47" s="11">
        <v>-0.01</v>
      </c>
      <c r="P47" s="10">
        <v>95.2</v>
      </c>
      <c r="Q47" s="10">
        <v>112.5</v>
      </c>
    </row>
    <row r="48" spans="1:17" ht="18" x14ac:dyDescent="0.2">
      <c r="A48" s="20" t="s">
        <v>66</v>
      </c>
      <c r="B48" s="31">
        <v>137500</v>
      </c>
      <c r="C48" s="23">
        <v>5</v>
      </c>
      <c r="D48" t="s">
        <v>212</v>
      </c>
      <c r="E48" s="2" t="s">
        <v>29</v>
      </c>
      <c r="F48" s="9">
        <v>28</v>
      </c>
      <c r="G48" s="9">
        <v>515</v>
      </c>
      <c r="H48" s="10">
        <v>13</v>
      </c>
      <c r="I48" s="9">
        <v>6719</v>
      </c>
      <c r="J48" s="11">
        <v>0.7</v>
      </c>
      <c r="K48" s="11">
        <v>0.7</v>
      </c>
      <c r="L48" s="11">
        <v>0</v>
      </c>
      <c r="M48" s="11">
        <v>0.06</v>
      </c>
      <c r="N48" s="11">
        <v>0.06</v>
      </c>
      <c r="O48" s="11">
        <v>0</v>
      </c>
      <c r="P48" s="10">
        <v>104.5</v>
      </c>
      <c r="Q48" s="10">
        <v>110.1</v>
      </c>
    </row>
    <row r="49" spans="1:17" ht="18" x14ac:dyDescent="0.2">
      <c r="A49" s="20" t="s">
        <v>138</v>
      </c>
      <c r="B49" s="32">
        <f>72269+63721</f>
        <v>135990</v>
      </c>
      <c r="C49" s="23">
        <v>17</v>
      </c>
      <c r="D49" t="s">
        <v>215</v>
      </c>
      <c r="E49" s="2" t="s">
        <v>29</v>
      </c>
      <c r="F49" s="9">
        <v>33</v>
      </c>
      <c r="G49" s="9">
        <v>778</v>
      </c>
      <c r="H49" s="10">
        <v>15.2</v>
      </c>
      <c r="I49" s="9">
        <v>11865</v>
      </c>
      <c r="J49" s="11">
        <v>2.6</v>
      </c>
      <c r="K49" s="11">
        <v>1.6</v>
      </c>
      <c r="L49" s="11">
        <v>1</v>
      </c>
      <c r="M49" s="11">
        <v>0.13</v>
      </c>
      <c r="N49" s="11">
        <v>0.08</v>
      </c>
      <c r="O49" s="11">
        <v>0.05</v>
      </c>
      <c r="P49" s="10">
        <v>111.1</v>
      </c>
      <c r="Q49" s="10">
        <v>100.2</v>
      </c>
    </row>
    <row r="50" spans="1:17" ht="18" x14ac:dyDescent="0.2">
      <c r="A50" s="20" t="s">
        <v>67</v>
      </c>
      <c r="B50" s="30">
        <v>135000</v>
      </c>
      <c r="C50" s="23">
        <v>7</v>
      </c>
      <c r="D50" t="s">
        <v>212</v>
      </c>
      <c r="E50" s="2" t="s">
        <v>29</v>
      </c>
      <c r="F50" s="9">
        <v>44</v>
      </c>
      <c r="G50" s="9">
        <v>833</v>
      </c>
      <c r="H50" s="10">
        <v>18.100000000000001</v>
      </c>
      <c r="I50" s="9">
        <v>15031</v>
      </c>
      <c r="J50" s="11">
        <v>3.4</v>
      </c>
      <c r="K50" s="11">
        <v>2.4</v>
      </c>
      <c r="L50" s="11">
        <v>1.1000000000000001</v>
      </c>
      <c r="M50" s="11">
        <v>0.16</v>
      </c>
      <c r="N50" s="11">
        <v>0.11</v>
      </c>
      <c r="O50" s="11">
        <v>0.05</v>
      </c>
      <c r="P50" s="10">
        <v>114</v>
      </c>
      <c r="Q50" s="10">
        <v>100.1</v>
      </c>
    </row>
    <row r="51" spans="1:17" ht="18" x14ac:dyDescent="0.2">
      <c r="A51" s="20" t="s">
        <v>68</v>
      </c>
      <c r="B51" s="30">
        <v>132000</v>
      </c>
      <c r="C51" s="23">
        <v>10</v>
      </c>
      <c r="D51" t="s">
        <v>212</v>
      </c>
      <c r="E51" s="2" t="s">
        <v>18</v>
      </c>
      <c r="F51" s="9">
        <v>22</v>
      </c>
      <c r="G51" s="9">
        <v>662</v>
      </c>
      <c r="H51" s="10">
        <v>15.1</v>
      </c>
      <c r="I51" s="9">
        <v>10006</v>
      </c>
      <c r="J51" s="11">
        <v>1.9</v>
      </c>
      <c r="K51" s="11">
        <v>0.8</v>
      </c>
      <c r="L51" s="11">
        <v>1.1000000000000001</v>
      </c>
      <c r="M51" s="11">
        <v>0.11</v>
      </c>
      <c r="N51" s="11">
        <v>0.05</v>
      </c>
      <c r="O51" s="11">
        <v>7.0000000000000007E-2</v>
      </c>
      <c r="P51" s="10">
        <v>100.5</v>
      </c>
      <c r="Q51" s="10">
        <v>97</v>
      </c>
    </row>
    <row r="52" spans="1:17" ht="18" x14ac:dyDescent="0.2">
      <c r="A52" s="20" t="s">
        <v>69</v>
      </c>
      <c r="B52" s="30">
        <v>128750</v>
      </c>
      <c r="C52" s="23">
        <v>7</v>
      </c>
      <c r="D52" t="s">
        <v>212</v>
      </c>
      <c r="E52" s="2" t="s">
        <v>29</v>
      </c>
      <c r="F52" s="9">
        <v>29</v>
      </c>
      <c r="G52" s="9">
        <v>370</v>
      </c>
      <c r="H52" s="10">
        <v>18.600000000000001</v>
      </c>
      <c r="I52" s="9">
        <v>6903</v>
      </c>
      <c r="J52" s="11">
        <v>1.6</v>
      </c>
      <c r="K52" s="11">
        <v>1</v>
      </c>
      <c r="L52" s="11">
        <v>0.6</v>
      </c>
      <c r="M52" s="11">
        <v>0.17</v>
      </c>
      <c r="N52" s="11">
        <v>0.11</v>
      </c>
      <c r="O52" s="11">
        <v>0.06</v>
      </c>
      <c r="P52" s="10">
        <v>119</v>
      </c>
      <c r="Q52" s="10">
        <v>97.5</v>
      </c>
    </row>
    <row r="53" spans="1:17" ht="18" x14ac:dyDescent="0.2">
      <c r="A53" s="20" t="s">
        <v>72</v>
      </c>
      <c r="B53" s="31">
        <v>125000</v>
      </c>
      <c r="C53" s="23">
        <v>7</v>
      </c>
      <c r="D53" t="s">
        <v>212</v>
      </c>
      <c r="E53" s="2" t="s">
        <v>29</v>
      </c>
      <c r="F53" s="9">
        <v>44</v>
      </c>
      <c r="G53" s="9">
        <v>1227</v>
      </c>
      <c r="H53" s="10">
        <v>10</v>
      </c>
      <c r="I53" s="9">
        <v>12270</v>
      </c>
      <c r="J53" s="11">
        <v>3.2</v>
      </c>
      <c r="K53" s="11">
        <v>1.7</v>
      </c>
      <c r="L53" s="11">
        <v>1.5</v>
      </c>
      <c r="M53" s="11">
        <v>0.1</v>
      </c>
      <c r="N53" s="11">
        <v>0.06</v>
      </c>
      <c r="O53" s="11">
        <v>0.05</v>
      </c>
      <c r="P53" s="10">
        <v>112.2</v>
      </c>
      <c r="Q53" s="10">
        <v>100.7</v>
      </c>
    </row>
    <row r="54" spans="1:17" ht="18" x14ac:dyDescent="0.2">
      <c r="A54" s="20" t="s">
        <v>73</v>
      </c>
      <c r="B54" s="31">
        <v>125000</v>
      </c>
      <c r="C54" s="23">
        <v>5</v>
      </c>
      <c r="D54" t="s">
        <v>212</v>
      </c>
      <c r="E54" s="2" t="s">
        <v>35</v>
      </c>
      <c r="F54" s="9">
        <v>42</v>
      </c>
      <c r="G54" s="9">
        <v>711</v>
      </c>
      <c r="H54" s="10">
        <v>8</v>
      </c>
      <c r="I54" s="9">
        <v>5654</v>
      </c>
      <c r="J54" s="11">
        <v>0</v>
      </c>
      <c r="K54" s="11">
        <v>0.2</v>
      </c>
      <c r="L54" s="11">
        <v>-0.2</v>
      </c>
      <c r="M54" s="11">
        <v>0</v>
      </c>
      <c r="N54" s="11">
        <v>0.01</v>
      </c>
      <c r="O54" s="11">
        <v>-0.01</v>
      </c>
      <c r="P54" s="10">
        <v>94.3</v>
      </c>
      <c r="Q54" s="10">
        <v>111.8</v>
      </c>
    </row>
    <row r="55" spans="1:17" ht="18" x14ac:dyDescent="0.2">
      <c r="A55" s="20" t="s">
        <v>71</v>
      </c>
      <c r="B55" s="31">
        <v>125000</v>
      </c>
      <c r="C55" s="23">
        <v>9</v>
      </c>
      <c r="D55" t="s">
        <v>212</v>
      </c>
      <c r="E55" s="2" t="s">
        <v>29</v>
      </c>
      <c r="F55" s="9">
        <v>43</v>
      </c>
      <c r="G55" s="9">
        <v>1027</v>
      </c>
      <c r="H55" s="10">
        <v>11.5</v>
      </c>
      <c r="I55" s="9">
        <v>11850</v>
      </c>
      <c r="J55" s="11">
        <v>2.1</v>
      </c>
      <c r="K55" s="11">
        <v>1.1000000000000001</v>
      </c>
      <c r="L55" s="11">
        <v>1</v>
      </c>
      <c r="M55" s="11">
        <v>0.08</v>
      </c>
      <c r="N55" s="11">
        <v>0.04</v>
      </c>
      <c r="O55" s="11">
        <v>0.04</v>
      </c>
      <c r="P55" s="10">
        <v>101.7</v>
      </c>
      <c r="Q55" s="10">
        <v>102.7</v>
      </c>
    </row>
    <row r="56" spans="1:17" ht="18" x14ac:dyDescent="0.2">
      <c r="A56" s="20" t="s">
        <v>74</v>
      </c>
      <c r="B56" s="32">
        <v>118450</v>
      </c>
      <c r="C56" s="23">
        <v>9</v>
      </c>
      <c r="D56" t="s">
        <v>212</v>
      </c>
      <c r="E56" s="2" t="s">
        <v>29</v>
      </c>
      <c r="F56" s="9">
        <v>16</v>
      </c>
      <c r="G56" s="9">
        <v>228</v>
      </c>
      <c r="H56" s="10">
        <v>6.7</v>
      </c>
      <c r="I56" s="9">
        <v>1526</v>
      </c>
      <c r="J56" s="11">
        <v>0.5</v>
      </c>
      <c r="K56" s="11">
        <v>0.2</v>
      </c>
      <c r="L56" s="11">
        <v>0.3</v>
      </c>
      <c r="M56" s="11">
        <v>0.09</v>
      </c>
      <c r="N56" s="11">
        <v>0.04</v>
      </c>
      <c r="O56" s="11">
        <v>0.05</v>
      </c>
      <c r="P56" s="10">
        <v>104.4</v>
      </c>
      <c r="Q56" s="10">
        <v>100</v>
      </c>
    </row>
    <row r="57" spans="1:17" ht="18" x14ac:dyDescent="0.2">
      <c r="A57" s="20" t="s">
        <v>75</v>
      </c>
      <c r="B57" s="31">
        <v>116331</v>
      </c>
      <c r="C57" s="23">
        <v>5</v>
      </c>
      <c r="D57" t="s">
        <v>212</v>
      </c>
      <c r="E57" s="2" t="s">
        <v>29</v>
      </c>
      <c r="F57" s="9">
        <v>21</v>
      </c>
      <c r="G57" s="9">
        <v>213</v>
      </c>
      <c r="H57" s="10">
        <v>13.6</v>
      </c>
      <c r="I57" s="9">
        <v>2893</v>
      </c>
      <c r="J57" s="11">
        <v>0.4</v>
      </c>
      <c r="K57" s="11">
        <v>0.4</v>
      </c>
      <c r="L57" s="11">
        <v>0.1</v>
      </c>
      <c r="M57" s="11">
        <v>0.08</v>
      </c>
      <c r="N57" s="11">
        <v>7.0000000000000007E-2</v>
      </c>
      <c r="O57" s="11">
        <v>0.01</v>
      </c>
      <c r="P57" s="10">
        <v>107.5</v>
      </c>
      <c r="Q57" s="10">
        <v>107.4</v>
      </c>
    </row>
    <row r="58" spans="1:17" ht="18" x14ac:dyDescent="0.2">
      <c r="A58" s="20" t="s">
        <v>76</v>
      </c>
      <c r="B58" s="31">
        <v>116079</v>
      </c>
      <c r="C58" s="23">
        <v>5</v>
      </c>
      <c r="D58" t="s">
        <v>212</v>
      </c>
      <c r="E58" s="2" t="s">
        <v>54</v>
      </c>
      <c r="F58" s="9">
        <v>34</v>
      </c>
      <c r="G58" s="9">
        <v>623</v>
      </c>
      <c r="H58" s="10">
        <v>19.100000000000001</v>
      </c>
      <c r="I58" s="9">
        <v>11920</v>
      </c>
      <c r="J58" s="11">
        <v>2.8</v>
      </c>
      <c r="K58" s="11">
        <v>1.5</v>
      </c>
      <c r="L58" s="11">
        <v>1.3</v>
      </c>
      <c r="M58" s="11">
        <v>0.18</v>
      </c>
      <c r="N58" s="11">
        <v>0.1</v>
      </c>
      <c r="O58" s="11">
        <v>0.09</v>
      </c>
      <c r="P58" s="10">
        <v>124.8</v>
      </c>
      <c r="Q58" s="10">
        <v>93.3</v>
      </c>
    </row>
    <row r="59" spans="1:17" ht="18" x14ac:dyDescent="0.2">
      <c r="A59" s="20" t="s">
        <v>77</v>
      </c>
      <c r="B59" s="30">
        <v>110000</v>
      </c>
      <c r="C59" s="23">
        <v>8</v>
      </c>
      <c r="D59" t="s">
        <v>212</v>
      </c>
      <c r="E59" s="2" t="s">
        <v>29</v>
      </c>
      <c r="F59" s="9">
        <v>26</v>
      </c>
      <c r="G59" s="9">
        <v>474</v>
      </c>
      <c r="H59" s="10">
        <v>16.7</v>
      </c>
      <c r="I59" s="9">
        <v>7916</v>
      </c>
      <c r="J59" s="11">
        <v>1.7</v>
      </c>
      <c r="K59" s="11">
        <v>0.8</v>
      </c>
      <c r="L59" s="11">
        <v>0.8</v>
      </c>
      <c r="M59" s="11">
        <v>0.14000000000000001</v>
      </c>
      <c r="N59" s="11">
        <v>7.0000000000000007E-2</v>
      </c>
      <c r="O59" s="11">
        <v>7.0000000000000007E-2</v>
      </c>
      <c r="P59" s="10">
        <v>107.7</v>
      </c>
      <c r="Q59" s="10">
        <v>96.2</v>
      </c>
    </row>
    <row r="60" spans="1:17" ht="18" x14ac:dyDescent="0.2">
      <c r="A60" s="20" t="s">
        <v>78</v>
      </c>
      <c r="B60" s="31">
        <v>103831</v>
      </c>
      <c r="C60" s="23">
        <v>4</v>
      </c>
      <c r="D60" t="s">
        <v>212</v>
      </c>
      <c r="E60" s="2" t="s">
        <v>29</v>
      </c>
      <c r="F60" s="9">
        <v>44</v>
      </c>
      <c r="G60" s="9">
        <v>1292</v>
      </c>
      <c r="H60" s="10">
        <v>19</v>
      </c>
      <c r="I60" s="9">
        <v>24566</v>
      </c>
      <c r="J60" s="11">
        <v>6.1</v>
      </c>
      <c r="K60" s="11">
        <v>4.3</v>
      </c>
      <c r="L60" s="11">
        <v>1.8</v>
      </c>
      <c r="M60" s="11">
        <v>0.19</v>
      </c>
      <c r="N60" s="11">
        <v>0.13</v>
      </c>
      <c r="O60" s="11">
        <v>0.06</v>
      </c>
      <c r="P60" s="10">
        <v>117.1</v>
      </c>
      <c r="Q60" s="10">
        <v>99.1</v>
      </c>
    </row>
    <row r="61" spans="1:17" ht="18" x14ac:dyDescent="0.2">
      <c r="A61" s="20" t="s">
        <v>79</v>
      </c>
      <c r="B61" s="31">
        <v>103000</v>
      </c>
      <c r="C61" s="23">
        <v>10</v>
      </c>
      <c r="D61" t="s">
        <v>212</v>
      </c>
      <c r="E61" s="2" t="s">
        <v>29</v>
      </c>
      <c r="F61" s="9">
        <v>40</v>
      </c>
      <c r="G61" s="9">
        <v>514</v>
      </c>
      <c r="H61" s="10">
        <v>7</v>
      </c>
      <c r="I61" s="9">
        <v>3587</v>
      </c>
      <c r="J61" s="11">
        <v>0.7</v>
      </c>
      <c r="K61" s="11">
        <v>0</v>
      </c>
      <c r="L61" s="11">
        <v>0.7</v>
      </c>
      <c r="M61" s="11">
        <v>0.06</v>
      </c>
      <c r="N61" s="11">
        <v>0</v>
      </c>
      <c r="O61" s="11">
        <v>0.06</v>
      </c>
      <c r="P61" s="10">
        <v>91.8</v>
      </c>
      <c r="Q61" s="10">
        <v>98.9</v>
      </c>
    </row>
    <row r="62" spans="1:17" ht="18" x14ac:dyDescent="0.2">
      <c r="A62" s="20" t="s">
        <v>80</v>
      </c>
      <c r="B62" s="31">
        <v>100013</v>
      </c>
      <c r="C62" s="23">
        <v>6</v>
      </c>
      <c r="D62" t="s">
        <v>212</v>
      </c>
      <c r="E62" s="2" t="s">
        <v>18</v>
      </c>
      <c r="F62" s="9">
        <v>5</v>
      </c>
      <c r="G62" s="9">
        <v>82</v>
      </c>
      <c r="H62" s="10">
        <v>13.4</v>
      </c>
      <c r="I62" s="9">
        <v>1104</v>
      </c>
      <c r="J62" s="11">
        <v>0.2</v>
      </c>
      <c r="K62" s="11">
        <v>0.2</v>
      </c>
      <c r="L62" s="11">
        <v>0</v>
      </c>
      <c r="M62" s="11">
        <v>0.09</v>
      </c>
      <c r="N62" s="11">
        <v>0.1</v>
      </c>
      <c r="O62" s="11">
        <v>-0.01</v>
      </c>
      <c r="P62" s="10">
        <v>124.9</v>
      </c>
      <c r="Q62" s="10">
        <v>111.3</v>
      </c>
    </row>
    <row r="63" spans="1:17" ht="18" x14ac:dyDescent="0.2">
      <c r="A63" s="20" t="s">
        <v>83</v>
      </c>
      <c r="B63" s="31">
        <v>100000</v>
      </c>
      <c r="C63" s="23">
        <v>9</v>
      </c>
      <c r="D63" t="s">
        <v>213</v>
      </c>
      <c r="E63" s="2" t="s">
        <v>84</v>
      </c>
      <c r="F63" s="9">
        <v>19</v>
      </c>
      <c r="G63" s="9">
        <v>450</v>
      </c>
      <c r="H63" s="10">
        <v>15.7</v>
      </c>
      <c r="I63" s="9">
        <v>7037</v>
      </c>
      <c r="J63" s="11">
        <v>1.4</v>
      </c>
      <c r="K63" s="11">
        <v>0.9</v>
      </c>
      <c r="L63" s="11">
        <v>0.5</v>
      </c>
      <c r="M63" s="11">
        <v>0.13</v>
      </c>
      <c r="N63" s="11">
        <v>0.08</v>
      </c>
      <c r="O63" s="11">
        <v>0.05</v>
      </c>
      <c r="P63" s="10">
        <v>110.5</v>
      </c>
      <c r="Q63" s="10">
        <v>101</v>
      </c>
    </row>
    <row r="64" spans="1:17" ht="18" x14ac:dyDescent="0.2">
      <c r="A64" s="20" t="s">
        <v>82</v>
      </c>
      <c r="B64" s="30">
        <v>100000</v>
      </c>
      <c r="C64" s="23">
        <v>11</v>
      </c>
      <c r="D64" t="s">
        <v>212</v>
      </c>
      <c r="E64" s="2" t="s">
        <v>29</v>
      </c>
      <c r="F64" s="9">
        <v>38</v>
      </c>
      <c r="G64" s="9">
        <v>439</v>
      </c>
      <c r="H64" s="10">
        <v>8.6</v>
      </c>
      <c r="I64" s="9">
        <v>3777</v>
      </c>
      <c r="J64" s="11">
        <v>0.4</v>
      </c>
      <c r="K64" s="11">
        <v>0</v>
      </c>
      <c r="L64" s="11">
        <v>0.4</v>
      </c>
      <c r="M64" s="11">
        <v>0.03</v>
      </c>
      <c r="N64" s="11">
        <v>0</v>
      </c>
      <c r="O64" s="11">
        <v>0.03</v>
      </c>
      <c r="P64" s="10">
        <v>92.1</v>
      </c>
      <c r="Q64" s="10">
        <v>103.6</v>
      </c>
    </row>
    <row r="65" spans="1:17" ht="18" x14ac:dyDescent="0.2">
      <c r="A65" s="20" t="s">
        <v>81</v>
      </c>
      <c r="B65" s="31">
        <v>100000</v>
      </c>
      <c r="C65" s="23">
        <v>11</v>
      </c>
      <c r="D65" t="s">
        <v>212</v>
      </c>
      <c r="E65" s="2" t="s">
        <v>29</v>
      </c>
      <c r="F65" s="9">
        <v>43</v>
      </c>
      <c r="G65" s="9">
        <v>906</v>
      </c>
      <c r="H65" s="10">
        <v>17</v>
      </c>
      <c r="I65" s="9">
        <v>15421</v>
      </c>
      <c r="J65" s="11">
        <v>1.7</v>
      </c>
      <c r="K65" s="11">
        <v>1.2</v>
      </c>
      <c r="L65" s="11">
        <v>0.5</v>
      </c>
      <c r="M65" s="11">
        <v>7.0000000000000007E-2</v>
      </c>
      <c r="N65" s="11">
        <v>0.05</v>
      </c>
      <c r="O65" s="11">
        <v>0.02</v>
      </c>
      <c r="P65" s="10">
        <v>102.2</v>
      </c>
      <c r="Q65" s="10">
        <v>105.7</v>
      </c>
    </row>
    <row r="66" spans="1:17" ht="18" x14ac:dyDescent="0.2">
      <c r="A66" s="20" t="s">
        <v>85</v>
      </c>
      <c r="B66" s="31">
        <v>100000</v>
      </c>
      <c r="C66" s="23">
        <v>7</v>
      </c>
      <c r="D66" t="s">
        <v>212</v>
      </c>
      <c r="E66" s="2" t="s">
        <v>35</v>
      </c>
      <c r="F66" s="9">
        <v>30</v>
      </c>
      <c r="G66" s="9">
        <v>756</v>
      </c>
      <c r="H66" s="10">
        <v>12.7</v>
      </c>
      <c r="I66" s="9">
        <v>9586</v>
      </c>
      <c r="J66" s="11">
        <v>2.2999999999999998</v>
      </c>
      <c r="K66" s="11">
        <v>1.5</v>
      </c>
      <c r="L66" s="11">
        <v>0.8</v>
      </c>
      <c r="M66" s="11">
        <v>0.12</v>
      </c>
      <c r="N66" s="11">
        <v>0.08</v>
      </c>
      <c r="O66" s="11">
        <v>0.04</v>
      </c>
      <c r="P66" s="10">
        <v>117.6</v>
      </c>
      <c r="Q66" s="10">
        <v>102</v>
      </c>
    </row>
    <row r="67" spans="1:17" ht="18" x14ac:dyDescent="0.2">
      <c r="A67" s="20" t="s">
        <v>86</v>
      </c>
      <c r="B67" s="31">
        <v>96820</v>
      </c>
      <c r="C67" s="23">
        <v>7</v>
      </c>
      <c r="D67" t="s">
        <v>212</v>
      </c>
      <c r="E67" s="2" t="s">
        <v>29</v>
      </c>
      <c r="F67" s="9">
        <v>20</v>
      </c>
      <c r="G67" s="9">
        <v>226</v>
      </c>
      <c r="H67" s="10">
        <v>5.7</v>
      </c>
      <c r="I67" s="9">
        <v>1285</v>
      </c>
      <c r="J67" s="11">
        <v>0.2</v>
      </c>
      <c r="K67" s="11">
        <v>0.1</v>
      </c>
      <c r="L67" s="11">
        <v>0.2</v>
      </c>
      <c r="M67" s="11">
        <v>0.04</v>
      </c>
      <c r="N67" s="11">
        <v>0.01</v>
      </c>
      <c r="O67" s="11">
        <v>0.03</v>
      </c>
      <c r="P67" s="10">
        <v>95.5</v>
      </c>
      <c r="Q67" s="10">
        <v>104.3</v>
      </c>
    </row>
    <row r="68" spans="1:17" ht="18" x14ac:dyDescent="0.2">
      <c r="A68" s="20" t="s">
        <v>87</v>
      </c>
      <c r="B68" s="30">
        <v>96408</v>
      </c>
      <c r="C68" s="23">
        <v>8</v>
      </c>
      <c r="D68" t="s">
        <v>212</v>
      </c>
      <c r="E68" s="2" t="s">
        <v>29</v>
      </c>
      <c r="F68" s="9">
        <v>24</v>
      </c>
      <c r="G68" s="9">
        <v>227</v>
      </c>
      <c r="H68" s="10">
        <v>8.5</v>
      </c>
      <c r="I68" s="9">
        <v>1929</v>
      </c>
      <c r="J68" s="11">
        <v>0.4</v>
      </c>
      <c r="K68" s="11">
        <v>0.2</v>
      </c>
      <c r="L68" s="11">
        <v>0.2</v>
      </c>
      <c r="M68" s="11">
        <v>7.0000000000000007E-2</v>
      </c>
      <c r="N68" s="11">
        <v>0.03</v>
      </c>
      <c r="O68" s="11">
        <v>0.04</v>
      </c>
      <c r="P68" s="10">
        <v>103.1</v>
      </c>
      <c r="Q68" s="10">
        <v>103</v>
      </c>
    </row>
    <row r="69" spans="1:17" ht="18" x14ac:dyDescent="0.2">
      <c r="A69" s="20" t="s">
        <v>89</v>
      </c>
      <c r="B69" s="30">
        <v>95000</v>
      </c>
      <c r="C69" s="23">
        <v>10</v>
      </c>
      <c r="D69" t="s">
        <v>212</v>
      </c>
      <c r="E69" s="2" t="s">
        <v>29</v>
      </c>
      <c r="F69" s="9">
        <v>44</v>
      </c>
      <c r="G69" s="9">
        <v>1081</v>
      </c>
      <c r="H69" s="10">
        <v>10.6</v>
      </c>
      <c r="I69" s="9">
        <v>11458</v>
      </c>
      <c r="J69" s="11">
        <v>1</v>
      </c>
      <c r="K69" s="11">
        <v>1.3</v>
      </c>
      <c r="L69" s="11">
        <v>-0.2</v>
      </c>
      <c r="M69" s="11">
        <v>0.04</v>
      </c>
      <c r="N69" s="11">
        <v>0.05</v>
      </c>
      <c r="O69" s="11">
        <v>-0.01</v>
      </c>
      <c r="P69" s="10">
        <v>103.1</v>
      </c>
      <c r="Q69" s="10">
        <v>111.8</v>
      </c>
    </row>
    <row r="70" spans="1:17" ht="18" x14ac:dyDescent="0.2">
      <c r="A70" s="20" t="s">
        <v>90</v>
      </c>
      <c r="B70" s="31">
        <v>93831</v>
      </c>
      <c r="C70" s="23">
        <v>4</v>
      </c>
      <c r="D70" t="s">
        <v>212</v>
      </c>
      <c r="E70" s="2" t="s">
        <v>54</v>
      </c>
      <c r="F70" s="9">
        <v>43</v>
      </c>
      <c r="G70" s="9">
        <v>1122</v>
      </c>
      <c r="H70" s="10">
        <v>9.8000000000000007</v>
      </c>
      <c r="I70" s="9">
        <v>11051</v>
      </c>
      <c r="J70" s="11">
        <v>1.1000000000000001</v>
      </c>
      <c r="K70" s="11">
        <v>0.5</v>
      </c>
      <c r="L70" s="11">
        <v>0.6</v>
      </c>
      <c r="M70" s="11">
        <v>0.04</v>
      </c>
      <c r="N70" s="11">
        <v>0.02</v>
      </c>
      <c r="O70" s="11">
        <v>0.02</v>
      </c>
      <c r="P70" s="10">
        <v>96.5</v>
      </c>
      <c r="Q70" s="10">
        <v>106.1</v>
      </c>
    </row>
    <row r="71" spans="1:17" ht="18" x14ac:dyDescent="0.2">
      <c r="A71" s="20" t="s">
        <v>99</v>
      </c>
      <c r="B71" s="32">
        <f>85000+7774</f>
        <v>92774</v>
      </c>
      <c r="C71" s="23">
        <v>12</v>
      </c>
      <c r="D71" t="s">
        <v>212</v>
      </c>
      <c r="E71" s="2" t="s">
        <v>29</v>
      </c>
      <c r="F71" s="9">
        <v>1</v>
      </c>
      <c r="G71" s="9">
        <v>12</v>
      </c>
      <c r="H71" s="10">
        <v>1.1000000000000001</v>
      </c>
      <c r="I71" s="9">
        <v>13000</v>
      </c>
      <c r="J71" s="11">
        <v>0</v>
      </c>
      <c r="K71" s="11">
        <v>0</v>
      </c>
      <c r="L71" s="11">
        <v>0</v>
      </c>
      <c r="M71" s="11">
        <v>0.01</v>
      </c>
      <c r="N71" s="11">
        <v>-0.11</v>
      </c>
      <c r="O71" s="11">
        <v>0.12</v>
      </c>
      <c r="P71" s="10">
        <v>50.2</v>
      </c>
      <c r="Q71" s="10">
        <v>86.5</v>
      </c>
    </row>
    <row r="72" spans="1:17" ht="18" x14ac:dyDescent="0.2">
      <c r="A72" s="20" t="s">
        <v>92</v>
      </c>
      <c r="B72" s="30">
        <v>91981</v>
      </c>
      <c r="C72" s="23">
        <v>4</v>
      </c>
      <c r="D72" t="s">
        <v>214</v>
      </c>
      <c r="E72" s="2" t="s">
        <v>25</v>
      </c>
      <c r="F72" s="9">
        <v>45</v>
      </c>
      <c r="G72" s="9">
        <v>956</v>
      </c>
      <c r="H72" s="10">
        <v>13.2</v>
      </c>
      <c r="I72" s="9">
        <v>12601</v>
      </c>
      <c r="J72" s="11">
        <v>2.2999999999999998</v>
      </c>
      <c r="K72" s="11">
        <v>1.3</v>
      </c>
      <c r="L72" s="11">
        <v>0.9</v>
      </c>
      <c r="M72" s="11">
        <v>0.09</v>
      </c>
      <c r="N72" s="11">
        <v>0.06</v>
      </c>
      <c r="O72" s="11">
        <v>0.04</v>
      </c>
      <c r="P72" s="10">
        <v>105.6</v>
      </c>
      <c r="Q72" s="10">
        <v>102.4</v>
      </c>
    </row>
    <row r="73" spans="1:17" ht="18" x14ac:dyDescent="0.2">
      <c r="A73" s="20" t="s">
        <v>93</v>
      </c>
      <c r="B73" s="30">
        <v>91981</v>
      </c>
      <c r="C73" s="23">
        <v>4</v>
      </c>
      <c r="D73" t="s">
        <v>214</v>
      </c>
      <c r="E73" s="2" t="s">
        <v>25</v>
      </c>
      <c r="F73" s="9">
        <v>33</v>
      </c>
      <c r="G73" s="9">
        <v>1151</v>
      </c>
      <c r="H73" s="10">
        <v>18.2</v>
      </c>
      <c r="I73" s="9">
        <v>20907</v>
      </c>
      <c r="J73" s="11">
        <v>4.9000000000000004</v>
      </c>
      <c r="K73" s="11">
        <v>3.1</v>
      </c>
      <c r="L73" s="11">
        <v>1.8</v>
      </c>
      <c r="M73" s="11">
        <v>0.17</v>
      </c>
      <c r="N73" s="11">
        <v>0.11</v>
      </c>
      <c r="O73" s="11">
        <v>0.06</v>
      </c>
      <c r="P73" s="10">
        <v>111</v>
      </c>
      <c r="Q73" s="10">
        <v>97.6</v>
      </c>
    </row>
    <row r="74" spans="1:17" ht="18" x14ac:dyDescent="0.2">
      <c r="A74" s="20" t="s">
        <v>91</v>
      </c>
      <c r="B74" s="30">
        <v>91981</v>
      </c>
      <c r="C74" s="23">
        <v>4</v>
      </c>
      <c r="D74" t="s">
        <v>214</v>
      </c>
      <c r="E74" s="2" t="s">
        <v>25</v>
      </c>
      <c r="F74" s="9">
        <v>38</v>
      </c>
      <c r="G74" s="9">
        <v>874</v>
      </c>
      <c r="H74" s="10">
        <v>18.5</v>
      </c>
      <c r="I74" s="9">
        <v>16164</v>
      </c>
      <c r="J74" s="11">
        <v>1.6</v>
      </c>
      <c r="K74" s="11">
        <v>0.2</v>
      </c>
      <c r="L74" s="11">
        <v>1.5</v>
      </c>
      <c r="M74" s="11">
        <v>7.0000000000000007E-2</v>
      </c>
      <c r="N74" s="11">
        <v>0.01</v>
      </c>
      <c r="O74" s="11">
        <v>7.0000000000000007E-2</v>
      </c>
      <c r="P74" s="10">
        <v>92.9</v>
      </c>
      <c r="Q74" s="10">
        <v>96.8</v>
      </c>
    </row>
    <row r="75" spans="1:17" ht="18" x14ac:dyDescent="0.2">
      <c r="A75" s="20" t="s">
        <v>94</v>
      </c>
      <c r="B75" s="31">
        <v>90000</v>
      </c>
      <c r="C75" s="23">
        <v>8</v>
      </c>
      <c r="D75" t="s">
        <v>212</v>
      </c>
      <c r="E75" s="2" t="s">
        <v>29</v>
      </c>
      <c r="F75" s="9">
        <v>31</v>
      </c>
      <c r="G75" s="9">
        <v>450</v>
      </c>
      <c r="H75" s="10">
        <v>6.6</v>
      </c>
      <c r="I75" s="9">
        <v>2960</v>
      </c>
      <c r="J75" s="11">
        <v>-0.1</v>
      </c>
      <c r="K75" s="11">
        <v>0</v>
      </c>
      <c r="L75" s="11">
        <v>-0.1</v>
      </c>
      <c r="M75" s="11">
        <v>-0.01</v>
      </c>
      <c r="N75" s="11">
        <v>0</v>
      </c>
      <c r="O75" s="11">
        <v>-0.01</v>
      </c>
      <c r="P75" s="10">
        <v>92.7</v>
      </c>
      <c r="Q75" s="10">
        <v>112.6</v>
      </c>
    </row>
    <row r="76" spans="1:17" ht="18" x14ac:dyDescent="0.2">
      <c r="A76" s="20" t="s">
        <v>95</v>
      </c>
      <c r="B76" s="31">
        <v>90000</v>
      </c>
      <c r="C76" s="23">
        <v>15</v>
      </c>
      <c r="D76" t="s">
        <v>212</v>
      </c>
      <c r="E76" s="2" t="s">
        <v>29</v>
      </c>
      <c r="F76" s="9">
        <v>30</v>
      </c>
      <c r="G76" s="9">
        <v>404</v>
      </c>
      <c r="H76" s="10">
        <v>5.9</v>
      </c>
      <c r="I76" s="9">
        <v>2365</v>
      </c>
      <c r="J76" s="11">
        <v>0.1</v>
      </c>
      <c r="K76" s="11">
        <v>-0.2</v>
      </c>
      <c r="L76" s="11">
        <v>0.3</v>
      </c>
      <c r="M76" s="11">
        <v>0.01</v>
      </c>
      <c r="N76" s="11">
        <v>-0.02</v>
      </c>
      <c r="O76" s="11">
        <v>0.03</v>
      </c>
      <c r="P76" s="10">
        <v>86.5</v>
      </c>
      <c r="Q76" s="10">
        <v>103.8</v>
      </c>
    </row>
    <row r="77" spans="1:17" ht="18" x14ac:dyDescent="0.2">
      <c r="A77" s="20" t="s">
        <v>96</v>
      </c>
      <c r="B77" s="31">
        <v>90000</v>
      </c>
      <c r="C77" s="23">
        <v>8</v>
      </c>
      <c r="D77" t="s">
        <v>212</v>
      </c>
      <c r="E77" s="2" t="s">
        <v>54</v>
      </c>
      <c r="F77" s="9">
        <v>39</v>
      </c>
      <c r="G77" s="9">
        <v>925</v>
      </c>
      <c r="H77" s="10">
        <v>12.8</v>
      </c>
      <c r="I77" s="9">
        <v>11845</v>
      </c>
      <c r="J77" s="11">
        <v>2.4</v>
      </c>
      <c r="K77" s="11">
        <v>1</v>
      </c>
      <c r="L77" s="11">
        <v>1.3</v>
      </c>
      <c r="M77" s="11">
        <v>0.1</v>
      </c>
      <c r="N77" s="11">
        <v>0.04</v>
      </c>
      <c r="O77" s="11">
        <v>0.06</v>
      </c>
      <c r="P77" s="10">
        <v>102.9</v>
      </c>
      <c r="Q77" s="10">
        <v>98.5</v>
      </c>
    </row>
    <row r="78" spans="1:17" ht="18" x14ac:dyDescent="0.2">
      <c r="A78" s="20" t="s">
        <v>97</v>
      </c>
      <c r="B78" s="30">
        <v>89000</v>
      </c>
      <c r="C78" s="23">
        <v>5</v>
      </c>
      <c r="D78" t="s">
        <v>212</v>
      </c>
      <c r="E78" s="2" t="s">
        <v>35</v>
      </c>
      <c r="F78" s="9">
        <v>44</v>
      </c>
      <c r="G78" s="9">
        <v>777</v>
      </c>
      <c r="H78" s="10">
        <v>11</v>
      </c>
      <c r="I78" s="9">
        <v>8551</v>
      </c>
      <c r="J78" s="11">
        <v>1.1000000000000001</v>
      </c>
      <c r="K78" s="11">
        <v>0.9</v>
      </c>
      <c r="L78" s="11">
        <v>0.3</v>
      </c>
      <c r="M78" s="11">
        <v>0.06</v>
      </c>
      <c r="N78" s="11">
        <v>0.04</v>
      </c>
      <c r="O78" s="11">
        <v>0.01</v>
      </c>
      <c r="P78" s="10">
        <v>101.2</v>
      </c>
      <c r="Q78" s="10">
        <v>107.2</v>
      </c>
    </row>
    <row r="79" spans="1:17" ht="18" x14ac:dyDescent="0.2">
      <c r="A79" s="20" t="s">
        <v>98</v>
      </c>
      <c r="B79" s="30">
        <v>88261</v>
      </c>
      <c r="C79" s="23">
        <v>4</v>
      </c>
      <c r="D79" t="s">
        <v>214</v>
      </c>
      <c r="E79" s="2" t="s">
        <v>25</v>
      </c>
      <c r="F79" s="9">
        <v>44</v>
      </c>
      <c r="G79" s="9">
        <v>1189</v>
      </c>
      <c r="H79" s="10">
        <v>10.4</v>
      </c>
      <c r="I79" s="9">
        <v>12374</v>
      </c>
      <c r="J79" s="11">
        <v>2.7</v>
      </c>
      <c r="K79" s="11">
        <v>1.4</v>
      </c>
      <c r="L79" s="11">
        <v>1.2</v>
      </c>
      <c r="M79" s="11">
        <v>0.09</v>
      </c>
      <c r="N79" s="11">
        <v>0.05</v>
      </c>
      <c r="O79" s="11">
        <v>0.04</v>
      </c>
      <c r="P79" s="10">
        <v>106.4</v>
      </c>
      <c r="Q79" s="10">
        <v>101.7</v>
      </c>
    </row>
    <row r="80" spans="1:17" ht="18" x14ac:dyDescent="0.2">
      <c r="A80" s="20" t="s">
        <v>100</v>
      </c>
      <c r="B80" s="31">
        <v>85000</v>
      </c>
      <c r="C80" s="23">
        <v>7</v>
      </c>
      <c r="D80" t="s">
        <v>212</v>
      </c>
      <c r="E80" s="2" t="s">
        <v>29</v>
      </c>
      <c r="F80" s="9">
        <v>27</v>
      </c>
      <c r="G80" s="9">
        <v>233</v>
      </c>
      <c r="H80" s="10">
        <v>7.4</v>
      </c>
      <c r="I80" s="9">
        <v>1721</v>
      </c>
      <c r="J80" s="11">
        <v>0.3</v>
      </c>
      <c r="K80" s="11">
        <v>0.1</v>
      </c>
      <c r="L80" s="11">
        <v>0.2</v>
      </c>
      <c r="M80" s="11">
        <v>0.06</v>
      </c>
      <c r="N80" s="11">
        <v>0.02</v>
      </c>
      <c r="O80" s="11">
        <v>0.04</v>
      </c>
      <c r="P80" s="10">
        <v>100.3</v>
      </c>
      <c r="Q80" s="10">
        <v>102.9</v>
      </c>
    </row>
    <row r="81" spans="1:17" ht="18" x14ac:dyDescent="0.2">
      <c r="A81" s="20" t="s">
        <v>101</v>
      </c>
      <c r="B81" s="31">
        <v>85000</v>
      </c>
      <c r="C81" s="23">
        <v>6</v>
      </c>
      <c r="D81" t="s">
        <v>213</v>
      </c>
      <c r="E81" s="2" t="s">
        <v>84</v>
      </c>
      <c r="F81" s="9">
        <v>34</v>
      </c>
      <c r="G81" s="9">
        <v>963</v>
      </c>
      <c r="H81" s="10">
        <v>11.4</v>
      </c>
      <c r="I81" s="9">
        <v>10962</v>
      </c>
      <c r="J81" s="11">
        <v>1.6</v>
      </c>
      <c r="K81" s="11">
        <v>1.3</v>
      </c>
      <c r="L81" s="11">
        <v>0.3</v>
      </c>
      <c r="M81" s="11">
        <v>7.0000000000000007E-2</v>
      </c>
      <c r="N81" s="11">
        <v>0.05</v>
      </c>
      <c r="O81" s="11">
        <v>0.01</v>
      </c>
      <c r="P81" s="10">
        <v>110.3</v>
      </c>
      <c r="Q81" s="10">
        <v>107.8</v>
      </c>
    </row>
    <row r="82" spans="1:17" ht="18" x14ac:dyDescent="0.2">
      <c r="A82" s="20" t="s">
        <v>162</v>
      </c>
      <c r="B82" s="32">
        <f>66079+18880</f>
        <v>84959</v>
      </c>
      <c r="C82" s="23">
        <v>3</v>
      </c>
      <c r="D82" t="s">
        <v>214</v>
      </c>
      <c r="E82" s="2" t="s">
        <v>54</v>
      </c>
      <c r="F82" s="9">
        <v>26</v>
      </c>
      <c r="G82" s="9">
        <v>142</v>
      </c>
      <c r="H82" s="10">
        <v>5.4</v>
      </c>
      <c r="I82" s="9">
        <v>774000</v>
      </c>
      <c r="J82" s="11">
        <v>0.1</v>
      </c>
      <c r="K82" s="11">
        <v>-0.1</v>
      </c>
      <c r="L82" s="11">
        <v>0.2</v>
      </c>
      <c r="M82" s="11">
        <v>0.01</v>
      </c>
      <c r="N82" s="11">
        <v>-0.04</v>
      </c>
      <c r="O82" s="11">
        <v>0.06</v>
      </c>
      <c r="P82" s="10">
        <v>80.7</v>
      </c>
      <c r="Q82" s="10">
        <v>99.1</v>
      </c>
    </row>
    <row r="83" spans="1:17" ht="18" x14ac:dyDescent="0.2">
      <c r="A83" s="20" t="s">
        <v>102</v>
      </c>
      <c r="B83" s="30">
        <v>84543</v>
      </c>
      <c r="C83" s="23">
        <v>4</v>
      </c>
      <c r="D83" t="s">
        <v>214</v>
      </c>
      <c r="E83" s="2" t="s">
        <v>25</v>
      </c>
      <c r="F83" s="9">
        <v>35</v>
      </c>
      <c r="G83" s="9">
        <v>427</v>
      </c>
      <c r="H83" s="10">
        <v>10.5</v>
      </c>
      <c r="I83" s="9">
        <v>4487</v>
      </c>
      <c r="J83" s="11">
        <v>0.5</v>
      </c>
      <c r="K83" s="11">
        <v>0.1</v>
      </c>
      <c r="L83" s="11">
        <v>0.4</v>
      </c>
      <c r="M83" s="11">
        <v>0.05</v>
      </c>
      <c r="N83" s="11">
        <v>0.01</v>
      </c>
      <c r="O83" s="11">
        <v>0.03</v>
      </c>
      <c r="P83" s="10">
        <v>94.9</v>
      </c>
      <c r="Q83" s="10">
        <v>103.3</v>
      </c>
    </row>
    <row r="84" spans="1:17" ht="18" x14ac:dyDescent="0.2">
      <c r="A84" s="20" t="s">
        <v>104</v>
      </c>
      <c r="B84" s="31">
        <v>83371</v>
      </c>
      <c r="C84" s="23">
        <v>3</v>
      </c>
      <c r="D84" t="s">
        <v>214</v>
      </c>
      <c r="E84" s="2" t="s">
        <v>25</v>
      </c>
      <c r="F84" s="9">
        <v>44</v>
      </c>
      <c r="G84" s="9">
        <v>1327</v>
      </c>
      <c r="H84" s="10">
        <v>22.5</v>
      </c>
      <c r="I84" s="9">
        <v>29890</v>
      </c>
      <c r="J84" s="11">
        <v>6.7</v>
      </c>
      <c r="K84" s="11">
        <v>4.7</v>
      </c>
      <c r="L84" s="11">
        <v>2</v>
      </c>
      <c r="M84" s="11">
        <v>0.2</v>
      </c>
      <c r="N84" s="11">
        <v>0.14000000000000001</v>
      </c>
      <c r="O84" s="11">
        <v>0.06</v>
      </c>
      <c r="P84" s="10">
        <v>117.9</v>
      </c>
      <c r="Q84" s="10">
        <v>98.1</v>
      </c>
    </row>
    <row r="85" spans="1:17" ht="18" x14ac:dyDescent="0.2">
      <c r="A85" s="20" t="s">
        <v>105</v>
      </c>
      <c r="B85" s="31">
        <v>83371</v>
      </c>
      <c r="C85" s="23">
        <v>3</v>
      </c>
      <c r="D85" t="s">
        <v>212</v>
      </c>
      <c r="E85" s="2" t="s">
        <v>18</v>
      </c>
      <c r="F85" s="9">
        <v>40</v>
      </c>
      <c r="G85" s="9">
        <v>434</v>
      </c>
      <c r="H85" s="10">
        <v>8.5</v>
      </c>
      <c r="I85" s="9">
        <v>3694</v>
      </c>
      <c r="J85" s="11">
        <v>0.5</v>
      </c>
      <c r="K85" s="11">
        <v>0.1</v>
      </c>
      <c r="L85" s="11">
        <v>0.4</v>
      </c>
      <c r="M85" s="11">
        <v>0.04</v>
      </c>
      <c r="N85" s="11">
        <v>0.01</v>
      </c>
      <c r="O85" s="11">
        <v>0.03</v>
      </c>
      <c r="P85" s="10">
        <v>94.4</v>
      </c>
      <c r="Q85" s="10">
        <v>103.5</v>
      </c>
    </row>
    <row r="86" spans="1:17" ht="18" x14ac:dyDescent="0.2">
      <c r="A86" s="20" t="s">
        <v>103</v>
      </c>
      <c r="B86" s="31">
        <v>83371</v>
      </c>
      <c r="C86" s="23">
        <v>3</v>
      </c>
      <c r="D86" t="s">
        <v>214</v>
      </c>
      <c r="E86" s="2" t="s">
        <v>25</v>
      </c>
      <c r="F86" s="9">
        <v>26</v>
      </c>
      <c r="G86" s="9">
        <v>702</v>
      </c>
      <c r="H86" s="10">
        <v>17.2</v>
      </c>
      <c r="I86" s="9">
        <v>12107</v>
      </c>
      <c r="J86" s="11">
        <v>1.9</v>
      </c>
      <c r="K86" s="11">
        <v>1.9</v>
      </c>
      <c r="L86" s="11">
        <v>0</v>
      </c>
      <c r="M86" s="11">
        <v>0.11</v>
      </c>
      <c r="N86" s="11">
        <v>0.11</v>
      </c>
      <c r="O86" s="11">
        <v>0</v>
      </c>
      <c r="P86" s="10">
        <v>116.9</v>
      </c>
      <c r="Q86" s="10">
        <v>110.1</v>
      </c>
    </row>
    <row r="87" spans="1:17" ht="18" x14ac:dyDescent="0.2">
      <c r="A87" s="20" t="s">
        <v>173</v>
      </c>
      <c r="B87" s="31">
        <f>42397+40789</f>
        <v>83186</v>
      </c>
      <c r="C87" s="23">
        <v>10</v>
      </c>
      <c r="D87" t="s">
        <v>213</v>
      </c>
      <c r="E87" s="2" t="s">
        <v>29</v>
      </c>
      <c r="F87" s="9">
        <v>39</v>
      </c>
      <c r="G87" s="9">
        <v>510</v>
      </c>
      <c r="H87" s="10">
        <v>6</v>
      </c>
      <c r="I87" s="9">
        <v>3071</v>
      </c>
      <c r="J87" s="11">
        <v>0.4</v>
      </c>
      <c r="K87" s="11">
        <v>0</v>
      </c>
      <c r="L87" s="11">
        <v>0.4</v>
      </c>
      <c r="M87" s="11">
        <v>0.03</v>
      </c>
      <c r="N87" s="11">
        <v>0</v>
      </c>
      <c r="O87" s="11">
        <v>0.03</v>
      </c>
      <c r="P87" s="10">
        <v>92.8</v>
      </c>
      <c r="Q87" s="10">
        <v>104.5</v>
      </c>
    </row>
    <row r="88" spans="1:17" ht="18" x14ac:dyDescent="0.2">
      <c r="A88" s="20" t="s">
        <v>149</v>
      </c>
      <c r="B88" s="32">
        <f>66710+15548</f>
        <v>82258</v>
      </c>
      <c r="C88" s="23">
        <v>2</v>
      </c>
      <c r="D88" t="s">
        <v>214</v>
      </c>
      <c r="E88" s="2" t="s">
        <v>18</v>
      </c>
      <c r="F88" s="9">
        <v>19</v>
      </c>
      <c r="G88" s="9">
        <v>85</v>
      </c>
      <c r="H88" s="10">
        <v>7.1</v>
      </c>
      <c r="I88" s="9">
        <v>607000</v>
      </c>
      <c r="J88" s="11">
        <v>0.1</v>
      </c>
      <c r="K88" s="11">
        <v>0</v>
      </c>
      <c r="L88" s="11">
        <v>0.1</v>
      </c>
      <c r="M88" s="11">
        <v>0.06</v>
      </c>
      <c r="N88" s="11">
        <v>0.02</v>
      </c>
      <c r="O88" s="11">
        <v>0.04</v>
      </c>
      <c r="P88" s="10">
        <v>96.4</v>
      </c>
      <c r="Q88" s="10">
        <v>101.5</v>
      </c>
    </row>
    <row r="89" spans="1:17" ht="18" x14ac:dyDescent="0.2">
      <c r="A89" s="20" t="s">
        <v>106</v>
      </c>
      <c r="B89" s="31">
        <v>81079</v>
      </c>
      <c r="C89" s="23">
        <v>4</v>
      </c>
      <c r="D89" t="s">
        <v>212</v>
      </c>
      <c r="E89" s="2" t="s">
        <v>54</v>
      </c>
      <c r="F89" s="9">
        <v>40</v>
      </c>
      <c r="G89" s="9">
        <v>512</v>
      </c>
      <c r="H89" s="10">
        <v>14.5</v>
      </c>
      <c r="I89" s="9">
        <v>7442</v>
      </c>
      <c r="J89" s="11">
        <v>1.1000000000000001</v>
      </c>
      <c r="K89" s="11">
        <v>0.2</v>
      </c>
      <c r="L89" s="11">
        <v>0.9</v>
      </c>
      <c r="M89" s="11">
        <v>0.09</v>
      </c>
      <c r="N89" s="11">
        <v>0.02</v>
      </c>
      <c r="O89" s="11">
        <v>7.0000000000000007E-2</v>
      </c>
      <c r="P89" s="10">
        <v>96.3</v>
      </c>
      <c r="Q89" s="10">
        <v>96.5</v>
      </c>
    </row>
    <row r="90" spans="1:17" ht="18" x14ac:dyDescent="0.2">
      <c r="A90" s="20" t="s">
        <v>108</v>
      </c>
      <c r="B90" s="30">
        <v>80823</v>
      </c>
      <c r="C90" s="23">
        <v>4</v>
      </c>
      <c r="D90" t="s">
        <v>214</v>
      </c>
      <c r="E90" s="2" t="s">
        <v>25</v>
      </c>
      <c r="F90" s="9">
        <v>44</v>
      </c>
      <c r="G90" s="9">
        <v>1122</v>
      </c>
      <c r="H90" s="10">
        <v>15.7</v>
      </c>
      <c r="I90" s="9">
        <v>17612</v>
      </c>
      <c r="J90" s="11">
        <v>4.4000000000000004</v>
      </c>
      <c r="K90" s="11">
        <v>2.8</v>
      </c>
      <c r="L90" s="11">
        <v>1.6</v>
      </c>
      <c r="M90" s="11">
        <v>0.16</v>
      </c>
      <c r="N90" s="11">
        <v>0.1</v>
      </c>
      <c r="O90" s="11">
        <v>0.06</v>
      </c>
      <c r="P90" s="10">
        <v>117.8</v>
      </c>
      <c r="Q90" s="10">
        <v>98.7</v>
      </c>
    </row>
    <row r="91" spans="1:17" ht="18" x14ac:dyDescent="0.2">
      <c r="A91" s="20" t="s">
        <v>107</v>
      </c>
      <c r="B91" s="30">
        <v>80823</v>
      </c>
      <c r="C91" s="23">
        <v>4</v>
      </c>
      <c r="D91" t="s">
        <v>214</v>
      </c>
      <c r="E91" s="2" t="s">
        <v>25</v>
      </c>
      <c r="F91" s="9">
        <v>37</v>
      </c>
      <c r="G91" s="9">
        <v>800</v>
      </c>
      <c r="H91" s="10">
        <v>17</v>
      </c>
      <c r="I91" s="9">
        <v>13628</v>
      </c>
      <c r="J91" s="11">
        <v>2.1</v>
      </c>
      <c r="K91" s="11">
        <v>1.6</v>
      </c>
      <c r="L91" s="11">
        <v>0.5</v>
      </c>
      <c r="M91" s="11">
        <v>0.1</v>
      </c>
      <c r="N91" s="11">
        <v>0.08</v>
      </c>
      <c r="O91" s="11">
        <v>0.02</v>
      </c>
      <c r="P91" s="10">
        <v>111.4</v>
      </c>
      <c r="Q91" s="10">
        <v>105.5</v>
      </c>
    </row>
    <row r="92" spans="1:17" ht="18" x14ac:dyDescent="0.2">
      <c r="A92" s="20" t="s">
        <v>109</v>
      </c>
      <c r="B92" s="32">
        <v>80672</v>
      </c>
      <c r="C92" s="23">
        <v>8</v>
      </c>
      <c r="D92" t="s">
        <v>212</v>
      </c>
      <c r="E92" s="2" t="s">
        <v>29</v>
      </c>
      <c r="F92" s="9">
        <v>20</v>
      </c>
      <c r="G92" s="9">
        <v>163</v>
      </c>
      <c r="H92" s="10">
        <v>9.5</v>
      </c>
      <c r="I92" s="9">
        <v>1551</v>
      </c>
      <c r="J92" s="11">
        <v>0.2</v>
      </c>
      <c r="K92" s="11">
        <v>0.2</v>
      </c>
      <c r="L92" s="11">
        <v>0</v>
      </c>
      <c r="M92" s="11">
        <v>0.05</v>
      </c>
      <c r="N92" s="11">
        <v>0.04</v>
      </c>
      <c r="O92" s="11">
        <v>0</v>
      </c>
      <c r="P92" s="10">
        <v>107.2</v>
      </c>
      <c r="Q92" s="10">
        <v>109.6</v>
      </c>
    </row>
    <row r="93" spans="1:17" ht="18" x14ac:dyDescent="0.2">
      <c r="A93" s="20" t="s">
        <v>110</v>
      </c>
      <c r="B93" s="30">
        <v>80000</v>
      </c>
      <c r="C93" s="23">
        <v>7</v>
      </c>
      <c r="D93" t="s">
        <v>212</v>
      </c>
      <c r="E93" s="2" t="s">
        <v>29</v>
      </c>
      <c r="F93" s="9">
        <v>33</v>
      </c>
      <c r="G93" s="9">
        <v>626</v>
      </c>
      <c r="H93" s="10">
        <v>7.6</v>
      </c>
      <c r="I93" s="9">
        <v>4744</v>
      </c>
      <c r="J93" s="11">
        <v>0.8</v>
      </c>
      <c r="K93" s="11">
        <v>0.4</v>
      </c>
      <c r="L93" s="11">
        <v>0.4</v>
      </c>
      <c r="M93" s="11">
        <v>0.05</v>
      </c>
      <c r="N93" s="11">
        <v>0.03</v>
      </c>
      <c r="O93" s="11">
        <v>0.02</v>
      </c>
      <c r="P93" s="10">
        <v>99.3</v>
      </c>
      <c r="Q93" s="10">
        <v>105.6</v>
      </c>
    </row>
    <row r="94" spans="1:17" ht="18" x14ac:dyDescent="0.2">
      <c r="A94" s="20" t="s">
        <v>111</v>
      </c>
      <c r="B94" s="31">
        <v>79999</v>
      </c>
      <c r="C94" s="23">
        <v>4</v>
      </c>
      <c r="D94" t="s">
        <v>214</v>
      </c>
      <c r="E94" s="2" t="s">
        <v>25</v>
      </c>
      <c r="F94" s="9">
        <v>17</v>
      </c>
      <c r="G94" s="9">
        <v>305</v>
      </c>
      <c r="H94" s="10">
        <v>13.4</v>
      </c>
      <c r="I94" s="9">
        <v>4098</v>
      </c>
      <c r="J94" s="11">
        <v>0.8</v>
      </c>
      <c r="K94" s="11">
        <v>0.4</v>
      </c>
      <c r="L94" s="11">
        <v>0.4</v>
      </c>
      <c r="M94" s="11">
        <v>0.11</v>
      </c>
      <c r="N94" s="11">
        <v>0.05</v>
      </c>
      <c r="O94" s="11">
        <v>0.06</v>
      </c>
      <c r="P94" s="10">
        <v>104.3</v>
      </c>
      <c r="Q94" s="10">
        <v>98.8</v>
      </c>
    </row>
    <row r="95" spans="1:17" ht="18" x14ac:dyDescent="0.2">
      <c r="A95" s="20" t="s">
        <v>151</v>
      </c>
      <c r="B95" s="32">
        <f>66079+13882</f>
        <v>79961</v>
      </c>
      <c r="C95" s="23">
        <v>4</v>
      </c>
      <c r="D95" t="s">
        <v>215</v>
      </c>
      <c r="E95" s="2" t="s">
        <v>29</v>
      </c>
      <c r="F95" s="9">
        <v>26</v>
      </c>
      <c r="G95" s="9">
        <v>261</v>
      </c>
      <c r="H95" s="10">
        <v>5.8</v>
      </c>
      <c r="I95" s="9">
        <v>1524</v>
      </c>
      <c r="J95" s="11">
        <v>-0.1</v>
      </c>
      <c r="K95" s="11">
        <v>-0.3</v>
      </c>
      <c r="L95" s="11">
        <v>0.2</v>
      </c>
      <c r="M95" s="11">
        <v>-0.01</v>
      </c>
      <c r="N95" s="11">
        <v>-0.04</v>
      </c>
      <c r="O95" s="11">
        <v>0.03</v>
      </c>
      <c r="P95" s="10">
        <v>83.2</v>
      </c>
      <c r="Q95" s="10">
        <v>103.3</v>
      </c>
    </row>
    <row r="96" spans="1:17" ht="18" x14ac:dyDescent="0.2">
      <c r="A96" s="20" t="s">
        <v>113</v>
      </c>
      <c r="B96" s="31">
        <v>78831</v>
      </c>
      <c r="C96" s="23">
        <v>12</v>
      </c>
      <c r="D96" t="s">
        <v>215</v>
      </c>
      <c r="E96" s="2" t="s">
        <v>29</v>
      </c>
      <c r="F96" s="9">
        <v>38</v>
      </c>
      <c r="G96" s="9">
        <v>867</v>
      </c>
      <c r="H96" s="10">
        <v>10.7</v>
      </c>
      <c r="I96" s="9">
        <v>9253</v>
      </c>
      <c r="J96" s="11">
        <v>0.4</v>
      </c>
      <c r="K96" s="11">
        <v>0.6</v>
      </c>
      <c r="L96" s="11">
        <v>-0.1</v>
      </c>
      <c r="M96" s="11">
        <v>0.02</v>
      </c>
      <c r="N96" s="11">
        <v>0.03</v>
      </c>
      <c r="O96" s="11">
        <v>-0.01</v>
      </c>
      <c r="P96" s="10">
        <v>97</v>
      </c>
      <c r="Q96" s="10">
        <v>111.2</v>
      </c>
    </row>
    <row r="97" spans="1:17" ht="18" x14ac:dyDescent="0.2">
      <c r="A97" s="20" t="s">
        <v>112</v>
      </c>
      <c r="B97" s="31">
        <v>78831</v>
      </c>
      <c r="C97" s="23">
        <v>10</v>
      </c>
      <c r="D97" t="s">
        <v>215</v>
      </c>
      <c r="E97" s="2" t="s">
        <v>29</v>
      </c>
      <c r="F97" s="9">
        <v>2</v>
      </c>
      <c r="G97" s="9">
        <v>14</v>
      </c>
      <c r="H97" s="10">
        <v>37.6</v>
      </c>
      <c r="I97" s="9">
        <v>524000</v>
      </c>
      <c r="J97" s="11">
        <v>0.1</v>
      </c>
      <c r="K97" s="11">
        <v>0.1</v>
      </c>
      <c r="L97" s="11">
        <v>0</v>
      </c>
      <c r="M97" s="11">
        <v>0.26</v>
      </c>
      <c r="N97" s="11">
        <v>0.27</v>
      </c>
      <c r="O97" s="11">
        <v>-0.01</v>
      </c>
      <c r="P97" s="10">
        <v>127.7</v>
      </c>
      <c r="Q97" s="10">
        <v>111.5</v>
      </c>
    </row>
    <row r="98" spans="1:17" ht="18" x14ac:dyDescent="0.2">
      <c r="A98" s="20" t="s">
        <v>118</v>
      </c>
      <c r="B98" s="31">
        <v>78831</v>
      </c>
      <c r="C98" s="23">
        <v>2</v>
      </c>
      <c r="D98" t="s">
        <v>214</v>
      </c>
      <c r="E98" s="2" t="s">
        <v>25</v>
      </c>
      <c r="F98" s="9">
        <v>42</v>
      </c>
      <c r="G98" s="9">
        <v>600</v>
      </c>
      <c r="H98" s="10">
        <v>20.100000000000001</v>
      </c>
      <c r="I98" s="9">
        <v>12082</v>
      </c>
      <c r="J98" s="11">
        <v>2</v>
      </c>
      <c r="K98" s="11">
        <v>0.9</v>
      </c>
      <c r="L98" s="11">
        <v>1.1000000000000001</v>
      </c>
      <c r="M98" s="11">
        <v>0.13</v>
      </c>
      <c r="N98" s="11">
        <v>0.06</v>
      </c>
      <c r="O98" s="11">
        <v>7.0000000000000007E-2</v>
      </c>
      <c r="P98" s="10">
        <v>102</v>
      </c>
      <c r="Q98" s="10">
        <v>96.2</v>
      </c>
    </row>
    <row r="99" spans="1:17" ht="18" x14ac:dyDescent="0.2">
      <c r="A99" s="20" t="s">
        <v>116</v>
      </c>
      <c r="B99" s="31">
        <v>78831</v>
      </c>
      <c r="C99" s="23">
        <v>11</v>
      </c>
      <c r="D99" t="s">
        <v>215</v>
      </c>
      <c r="E99" s="2" t="s">
        <v>29</v>
      </c>
      <c r="F99" s="9">
        <v>44</v>
      </c>
      <c r="G99" s="9">
        <v>1126</v>
      </c>
      <c r="H99" s="10">
        <v>13.3</v>
      </c>
      <c r="I99" s="9">
        <v>15031</v>
      </c>
      <c r="J99" s="11">
        <v>2.2999999999999998</v>
      </c>
      <c r="K99" s="11">
        <v>1</v>
      </c>
      <c r="L99" s="11">
        <v>1.3</v>
      </c>
      <c r="M99" s="11">
        <v>0.08</v>
      </c>
      <c r="N99" s="11">
        <v>0.04</v>
      </c>
      <c r="O99" s="11">
        <v>0.05</v>
      </c>
      <c r="P99" s="10">
        <v>99.2</v>
      </c>
      <c r="Q99" s="10">
        <v>100.9</v>
      </c>
    </row>
    <row r="100" spans="1:17" ht="18" x14ac:dyDescent="0.2">
      <c r="A100" s="20" t="s">
        <v>114</v>
      </c>
      <c r="B100" s="31">
        <v>78831</v>
      </c>
      <c r="C100" s="23">
        <v>11</v>
      </c>
      <c r="D100" t="s">
        <v>215</v>
      </c>
      <c r="E100" s="2" t="s">
        <v>29</v>
      </c>
      <c r="F100" s="9">
        <v>34</v>
      </c>
      <c r="G100" s="9">
        <v>360</v>
      </c>
      <c r="H100" s="10">
        <v>17.3</v>
      </c>
      <c r="I100" s="9">
        <v>6240</v>
      </c>
      <c r="J100" s="11">
        <v>1.2</v>
      </c>
      <c r="K100" s="11">
        <v>0.7</v>
      </c>
      <c r="L100" s="11">
        <v>0.5</v>
      </c>
      <c r="M100" s="11">
        <v>0.13</v>
      </c>
      <c r="N100" s="11">
        <v>0.08</v>
      </c>
      <c r="O100" s="11">
        <v>0.06</v>
      </c>
      <c r="P100" s="10">
        <v>105.9</v>
      </c>
      <c r="Q100" s="10">
        <v>98.5</v>
      </c>
    </row>
    <row r="101" spans="1:17" ht="18" x14ac:dyDescent="0.2">
      <c r="A101" s="20" t="s">
        <v>117</v>
      </c>
      <c r="B101" s="31">
        <v>78831</v>
      </c>
      <c r="C101" s="23">
        <v>7</v>
      </c>
      <c r="D101" t="s">
        <v>213</v>
      </c>
      <c r="E101" s="2" t="s">
        <v>84</v>
      </c>
      <c r="F101" s="9">
        <v>40</v>
      </c>
      <c r="G101" s="9">
        <v>835</v>
      </c>
      <c r="H101" s="10">
        <v>20.9</v>
      </c>
      <c r="I101" s="9">
        <v>17469</v>
      </c>
      <c r="J101" s="11">
        <v>4.2</v>
      </c>
      <c r="K101" s="11">
        <v>2.8</v>
      </c>
      <c r="L101" s="11">
        <v>1.4</v>
      </c>
      <c r="M101" s="11">
        <v>0.2</v>
      </c>
      <c r="N101" s="11">
        <v>0.14000000000000001</v>
      </c>
      <c r="O101" s="11">
        <v>7.0000000000000007E-2</v>
      </c>
      <c r="P101" s="10">
        <v>121.6</v>
      </c>
      <c r="Q101" s="10">
        <v>96.8</v>
      </c>
    </row>
    <row r="102" spans="1:17" ht="18" x14ac:dyDescent="0.2">
      <c r="A102" s="20" t="s">
        <v>115</v>
      </c>
      <c r="B102" s="31">
        <v>78831</v>
      </c>
      <c r="C102" s="23">
        <v>6</v>
      </c>
      <c r="D102" t="s">
        <v>215</v>
      </c>
      <c r="E102" s="2" t="s">
        <v>29</v>
      </c>
      <c r="F102" s="9">
        <v>36</v>
      </c>
      <c r="G102" s="9">
        <v>779</v>
      </c>
      <c r="H102" s="10">
        <v>13.9</v>
      </c>
      <c r="I102" s="9">
        <v>10868</v>
      </c>
      <c r="J102" s="11">
        <v>2.1</v>
      </c>
      <c r="K102" s="11">
        <v>1.4</v>
      </c>
      <c r="L102" s="11">
        <v>0.7</v>
      </c>
      <c r="M102" s="11">
        <v>0.11</v>
      </c>
      <c r="N102" s="11">
        <v>7.0000000000000007E-2</v>
      </c>
      <c r="O102" s="11">
        <v>0.04</v>
      </c>
      <c r="P102" s="10">
        <v>110.4</v>
      </c>
      <c r="Q102" s="10">
        <v>103.1</v>
      </c>
    </row>
    <row r="103" spans="1:17" ht="18" x14ac:dyDescent="0.2">
      <c r="A103" s="20" t="s">
        <v>119</v>
      </c>
      <c r="B103" s="31">
        <v>78831</v>
      </c>
      <c r="C103" s="23">
        <v>1</v>
      </c>
      <c r="D103" t="s">
        <v>214</v>
      </c>
      <c r="E103" s="2" t="s">
        <v>25</v>
      </c>
      <c r="F103" s="9">
        <v>44</v>
      </c>
      <c r="G103" s="9">
        <v>1185</v>
      </c>
      <c r="H103" s="10">
        <v>17.3</v>
      </c>
      <c r="I103" s="9">
        <v>20530</v>
      </c>
      <c r="J103" s="11">
        <v>3.3</v>
      </c>
      <c r="K103" s="11">
        <v>2.1</v>
      </c>
      <c r="L103" s="11">
        <v>1.2</v>
      </c>
      <c r="M103" s="11">
        <v>0.11</v>
      </c>
      <c r="N103" s="11">
        <v>7.0000000000000007E-2</v>
      </c>
      <c r="O103" s="11">
        <v>0.04</v>
      </c>
      <c r="P103" s="10">
        <v>103.8</v>
      </c>
      <c r="Q103" s="10">
        <v>101.9</v>
      </c>
    </row>
    <row r="104" spans="1:17" ht="18" x14ac:dyDescent="0.2">
      <c r="A104" s="20" t="s">
        <v>121</v>
      </c>
      <c r="B104" s="31">
        <v>78831</v>
      </c>
      <c r="C104" s="23">
        <v>1</v>
      </c>
      <c r="D104" t="s">
        <v>214</v>
      </c>
      <c r="E104" s="2" t="s">
        <v>25</v>
      </c>
      <c r="F104" s="9">
        <v>36</v>
      </c>
      <c r="G104" s="9">
        <v>1199</v>
      </c>
      <c r="H104" s="10">
        <v>21.9</v>
      </c>
      <c r="I104" s="9">
        <v>26269</v>
      </c>
      <c r="J104" s="11">
        <v>4.5</v>
      </c>
      <c r="K104" s="11">
        <v>4.0999999999999996</v>
      </c>
      <c r="L104" s="11">
        <v>0.3</v>
      </c>
      <c r="M104" s="11">
        <v>0.15</v>
      </c>
      <c r="N104" s="11">
        <v>0.14000000000000001</v>
      </c>
      <c r="O104" s="11">
        <v>0.01</v>
      </c>
      <c r="P104" s="10">
        <v>115.5</v>
      </c>
      <c r="Q104" s="10">
        <v>107.8</v>
      </c>
    </row>
    <row r="105" spans="1:17" ht="18" x14ac:dyDescent="0.2">
      <c r="A105" s="20" t="s">
        <v>120</v>
      </c>
      <c r="B105" s="31">
        <v>78831</v>
      </c>
      <c r="C105" s="23">
        <v>1</v>
      </c>
      <c r="D105" t="s">
        <v>214</v>
      </c>
      <c r="E105" s="2" t="s">
        <v>25</v>
      </c>
      <c r="F105" s="9">
        <v>44</v>
      </c>
      <c r="G105" s="9">
        <v>1415</v>
      </c>
      <c r="H105" s="10">
        <v>16.399999999999999</v>
      </c>
      <c r="I105" s="9">
        <v>23171</v>
      </c>
      <c r="J105" s="11">
        <v>4.3</v>
      </c>
      <c r="K105" s="11">
        <v>3</v>
      </c>
      <c r="L105" s="11">
        <v>1.2</v>
      </c>
      <c r="M105" s="11">
        <v>0.12</v>
      </c>
      <c r="N105" s="11">
        <v>0.09</v>
      </c>
      <c r="O105" s="11">
        <v>0.03</v>
      </c>
      <c r="P105" s="10">
        <v>110</v>
      </c>
      <c r="Q105" s="10">
        <v>103.3</v>
      </c>
    </row>
    <row r="106" spans="1:17" ht="18" x14ac:dyDescent="0.2">
      <c r="A106" s="20" t="s">
        <v>125</v>
      </c>
      <c r="B106" s="31">
        <v>78066</v>
      </c>
      <c r="C106" s="23">
        <v>2</v>
      </c>
      <c r="D106" t="s">
        <v>214</v>
      </c>
      <c r="E106" s="2" t="s">
        <v>18</v>
      </c>
      <c r="F106" s="9">
        <v>13</v>
      </c>
      <c r="G106" s="9">
        <v>404</v>
      </c>
      <c r="H106" s="10">
        <v>16.600000000000001</v>
      </c>
      <c r="I106" s="9">
        <v>6710</v>
      </c>
      <c r="J106" s="11">
        <v>0.8</v>
      </c>
      <c r="K106" s="11">
        <v>0.2</v>
      </c>
      <c r="L106" s="11">
        <v>0.6</v>
      </c>
      <c r="M106" s="11">
        <v>0.08</v>
      </c>
      <c r="N106" s="11">
        <v>0.02</v>
      </c>
      <c r="O106" s="11">
        <v>0.06</v>
      </c>
      <c r="P106" s="10">
        <v>94.3</v>
      </c>
      <c r="Q106" s="10">
        <v>98.6</v>
      </c>
    </row>
    <row r="107" spans="1:17" ht="18" x14ac:dyDescent="0.2">
      <c r="A107" s="20" t="s">
        <v>122</v>
      </c>
      <c r="B107" s="31">
        <v>78066</v>
      </c>
      <c r="C107" s="23">
        <v>2</v>
      </c>
      <c r="D107" t="s">
        <v>214</v>
      </c>
      <c r="E107" s="2" t="s">
        <v>25</v>
      </c>
      <c r="F107" s="9">
        <v>19</v>
      </c>
      <c r="G107" s="9">
        <v>244</v>
      </c>
      <c r="H107" s="10">
        <v>15.2</v>
      </c>
      <c r="I107" s="9">
        <v>3705</v>
      </c>
      <c r="J107" s="11">
        <v>0.4</v>
      </c>
      <c r="K107" s="11">
        <v>0.1</v>
      </c>
      <c r="L107" s="11">
        <v>0.3</v>
      </c>
      <c r="M107" s="11">
        <v>7.0000000000000007E-2</v>
      </c>
      <c r="N107" s="11">
        <v>0.01</v>
      </c>
      <c r="O107" s="11">
        <v>0.06</v>
      </c>
      <c r="P107" s="10">
        <v>94.1</v>
      </c>
      <c r="Q107" s="10">
        <v>98.9</v>
      </c>
    </row>
    <row r="108" spans="1:17" ht="18" x14ac:dyDescent="0.2">
      <c r="A108" s="20" t="s">
        <v>124</v>
      </c>
      <c r="B108" s="31">
        <v>78066</v>
      </c>
      <c r="C108" s="23">
        <v>2</v>
      </c>
      <c r="D108" t="s">
        <v>214</v>
      </c>
      <c r="E108" s="2" t="s">
        <v>25</v>
      </c>
      <c r="F108" s="9">
        <v>40</v>
      </c>
      <c r="G108" s="9">
        <v>1102</v>
      </c>
      <c r="H108" s="10">
        <v>19.600000000000001</v>
      </c>
      <c r="I108" s="9">
        <v>21647</v>
      </c>
      <c r="J108" s="11">
        <v>2.8</v>
      </c>
      <c r="K108" s="11">
        <v>2.4</v>
      </c>
      <c r="L108" s="11">
        <v>0.4</v>
      </c>
      <c r="M108" s="11">
        <v>0.1</v>
      </c>
      <c r="N108" s="11">
        <v>0.09</v>
      </c>
      <c r="O108" s="11">
        <v>0.01</v>
      </c>
      <c r="P108" s="10">
        <v>107</v>
      </c>
      <c r="Q108" s="10">
        <v>107.2</v>
      </c>
    </row>
    <row r="109" spans="1:17" ht="18" x14ac:dyDescent="0.2">
      <c r="A109" s="20" t="s">
        <v>123</v>
      </c>
      <c r="B109" s="31">
        <v>78066</v>
      </c>
      <c r="C109" s="23">
        <v>2</v>
      </c>
      <c r="D109" t="s">
        <v>214</v>
      </c>
      <c r="E109" s="2" t="s">
        <v>25</v>
      </c>
      <c r="F109" s="9">
        <v>38</v>
      </c>
      <c r="G109" s="9">
        <v>1173</v>
      </c>
      <c r="H109" s="10">
        <v>12.5</v>
      </c>
      <c r="I109" s="9">
        <v>14675</v>
      </c>
      <c r="J109" s="11">
        <v>0.9</v>
      </c>
      <c r="K109" s="11">
        <v>1.2</v>
      </c>
      <c r="L109" s="11">
        <v>-0.3</v>
      </c>
      <c r="M109" s="11">
        <v>0.03</v>
      </c>
      <c r="N109" s="11">
        <v>0.04</v>
      </c>
      <c r="O109" s="11">
        <v>-0.01</v>
      </c>
      <c r="P109" s="10">
        <v>99.6</v>
      </c>
      <c r="Q109" s="10">
        <v>112</v>
      </c>
    </row>
    <row r="110" spans="1:17" ht="18" x14ac:dyDescent="0.2">
      <c r="A110" s="20" t="s">
        <v>166</v>
      </c>
      <c r="B110" s="32">
        <f>54622+13911+7949</f>
        <v>76482</v>
      </c>
      <c r="C110" s="23">
        <v>11</v>
      </c>
      <c r="D110" t="s">
        <v>213</v>
      </c>
      <c r="E110" s="2" t="s">
        <v>29</v>
      </c>
      <c r="F110" s="9">
        <v>24</v>
      </c>
      <c r="G110" s="9">
        <v>671</v>
      </c>
      <c r="H110" s="10">
        <v>12</v>
      </c>
      <c r="I110" s="9">
        <v>8071</v>
      </c>
      <c r="J110" s="11">
        <v>1.2</v>
      </c>
      <c r="K110" s="11">
        <v>1.1000000000000001</v>
      </c>
      <c r="L110" s="11">
        <v>0.1</v>
      </c>
      <c r="M110" s="11">
        <v>7.0000000000000007E-2</v>
      </c>
      <c r="N110" s="11">
        <v>0.06</v>
      </c>
      <c r="O110" s="11">
        <v>0.01</v>
      </c>
      <c r="P110" s="10">
        <v>106.4</v>
      </c>
      <c r="Q110" s="10">
        <v>109</v>
      </c>
    </row>
    <row r="111" spans="1:17" ht="18" x14ac:dyDescent="0.2">
      <c r="A111" s="20" t="s">
        <v>126</v>
      </c>
      <c r="B111" s="31">
        <v>75694</v>
      </c>
      <c r="C111" s="23">
        <v>13</v>
      </c>
      <c r="D111" t="s">
        <v>215</v>
      </c>
      <c r="E111" s="2" t="s">
        <v>29</v>
      </c>
      <c r="F111" s="9">
        <v>17</v>
      </c>
      <c r="G111" s="9">
        <v>440</v>
      </c>
      <c r="H111" s="10">
        <v>23.6</v>
      </c>
      <c r="I111" s="9">
        <v>10358</v>
      </c>
      <c r="J111" s="11">
        <v>2</v>
      </c>
      <c r="K111" s="11">
        <v>1.4</v>
      </c>
      <c r="L111" s="11">
        <v>0.6</v>
      </c>
      <c r="M111" s="11">
        <v>0.18</v>
      </c>
      <c r="N111" s="11">
        <v>0.13</v>
      </c>
      <c r="O111" s="11">
        <v>0.05</v>
      </c>
      <c r="P111" s="10">
        <v>115.1</v>
      </c>
      <c r="Q111" s="10">
        <v>99.9</v>
      </c>
    </row>
    <row r="112" spans="1:17" ht="18" x14ac:dyDescent="0.2">
      <c r="A112" s="20" t="s">
        <v>128</v>
      </c>
      <c r="B112" s="31">
        <v>75643</v>
      </c>
      <c r="C112" s="23">
        <v>3</v>
      </c>
      <c r="D112" t="s">
        <v>214</v>
      </c>
      <c r="E112" s="2" t="s">
        <v>25</v>
      </c>
      <c r="F112" s="9">
        <v>41</v>
      </c>
      <c r="G112" s="9">
        <v>775</v>
      </c>
      <c r="H112" s="10">
        <v>14.9</v>
      </c>
      <c r="I112" s="9">
        <v>11528</v>
      </c>
      <c r="J112" s="11">
        <v>1</v>
      </c>
      <c r="K112" s="11">
        <v>0.3</v>
      </c>
      <c r="L112" s="11">
        <v>0.7</v>
      </c>
      <c r="M112" s="11">
        <v>0.05</v>
      </c>
      <c r="N112" s="11">
        <v>0.02</v>
      </c>
      <c r="O112" s="11">
        <v>0.04</v>
      </c>
      <c r="P112" s="10">
        <v>94.9</v>
      </c>
      <c r="Q112" s="10">
        <v>103</v>
      </c>
    </row>
    <row r="113" spans="1:17" ht="18" x14ac:dyDescent="0.2">
      <c r="A113" s="20" t="s">
        <v>129</v>
      </c>
      <c r="B113" s="31">
        <v>75643</v>
      </c>
      <c r="C113" s="23">
        <v>3</v>
      </c>
      <c r="D113" t="s">
        <v>214</v>
      </c>
      <c r="E113" s="2" t="s">
        <v>25</v>
      </c>
      <c r="F113" s="9">
        <v>42</v>
      </c>
      <c r="G113" s="9">
        <v>1097</v>
      </c>
      <c r="H113" s="10">
        <v>13.6</v>
      </c>
      <c r="I113" s="9">
        <v>14902</v>
      </c>
      <c r="J113" s="11">
        <v>1.2</v>
      </c>
      <c r="K113" s="11">
        <v>0.7</v>
      </c>
      <c r="L113" s="11">
        <v>0.5</v>
      </c>
      <c r="M113" s="11">
        <v>0.04</v>
      </c>
      <c r="N113" s="11">
        <v>0.02</v>
      </c>
      <c r="O113" s="11">
        <v>0.02</v>
      </c>
      <c r="P113" s="10">
        <v>97.6</v>
      </c>
      <c r="Q113" s="10">
        <v>106.6</v>
      </c>
    </row>
    <row r="114" spans="1:17" ht="18" x14ac:dyDescent="0.2">
      <c r="A114" s="20" t="s">
        <v>130</v>
      </c>
      <c r="B114" s="31">
        <v>74909</v>
      </c>
      <c r="C114" s="23">
        <v>2</v>
      </c>
      <c r="D114" t="s">
        <v>214</v>
      </c>
      <c r="E114" s="2" t="s">
        <v>25</v>
      </c>
      <c r="F114" s="9">
        <v>36</v>
      </c>
      <c r="G114" s="9">
        <v>534</v>
      </c>
      <c r="H114" s="10">
        <v>13</v>
      </c>
      <c r="I114" s="9">
        <v>6951</v>
      </c>
      <c r="J114" s="11">
        <v>0.9</v>
      </c>
      <c r="K114" s="11">
        <v>0.2</v>
      </c>
      <c r="L114" s="11">
        <v>0.7</v>
      </c>
      <c r="M114" s="11">
        <v>7.0000000000000007E-2</v>
      </c>
      <c r="N114" s="11">
        <v>0.02</v>
      </c>
      <c r="O114" s="11">
        <v>0.05</v>
      </c>
      <c r="P114" s="10">
        <v>95.7</v>
      </c>
      <c r="Q114" s="10">
        <v>100.4</v>
      </c>
    </row>
    <row r="115" spans="1:17" ht="18" x14ac:dyDescent="0.2">
      <c r="A115" s="20" t="s">
        <v>132</v>
      </c>
      <c r="B115" s="31">
        <v>74909</v>
      </c>
      <c r="C115" s="23">
        <v>2</v>
      </c>
      <c r="D115" t="s">
        <v>214</v>
      </c>
      <c r="E115" s="2" t="s">
        <v>25</v>
      </c>
      <c r="F115" s="9">
        <v>30</v>
      </c>
      <c r="G115" s="9">
        <v>947</v>
      </c>
      <c r="H115" s="10">
        <v>19.600000000000001</v>
      </c>
      <c r="I115" s="9">
        <v>18533</v>
      </c>
      <c r="J115" s="11">
        <v>2.2999999999999998</v>
      </c>
      <c r="K115" s="11">
        <v>1.3</v>
      </c>
      <c r="L115" s="11">
        <v>1</v>
      </c>
      <c r="M115" s="11">
        <v>0.1</v>
      </c>
      <c r="N115" s="11">
        <v>0.06</v>
      </c>
      <c r="O115" s="11">
        <v>0.04</v>
      </c>
      <c r="P115" s="10">
        <v>100.6</v>
      </c>
      <c r="Q115" s="10">
        <v>101.9</v>
      </c>
    </row>
    <row r="116" spans="1:17" ht="18" x14ac:dyDescent="0.2">
      <c r="A116" s="20" t="s">
        <v>131</v>
      </c>
      <c r="B116" s="31">
        <v>74909</v>
      </c>
      <c r="C116" s="23">
        <v>2</v>
      </c>
      <c r="D116" t="s">
        <v>214</v>
      </c>
      <c r="E116" s="2" t="s">
        <v>25</v>
      </c>
      <c r="F116" s="9">
        <v>30</v>
      </c>
      <c r="G116" s="9">
        <v>708</v>
      </c>
      <c r="H116" s="10">
        <v>11.8</v>
      </c>
      <c r="I116" s="9">
        <v>8376</v>
      </c>
      <c r="J116" s="11">
        <v>1</v>
      </c>
      <c r="K116" s="11">
        <v>1.1000000000000001</v>
      </c>
      <c r="L116" s="11">
        <v>-0.1</v>
      </c>
      <c r="M116" s="11">
        <v>0.06</v>
      </c>
      <c r="N116" s="11">
        <v>0.06</v>
      </c>
      <c r="O116" s="11">
        <v>0</v>
      </c>
      <c r="P116" s="10">
        <v>110.2</v>
      </c>
      <c r="Q116" s="10">
        <v>110.9</v>
      </c>
    </row>
    <row r="117" spans="1:17" ht="18" x14ac:dyDescent="0.2">
      <c r="A117" s="20" t="s">
        <v>135</v>
      </c>
      <c r="B117" s="31">
        <v>72455</v>
      </c>
      <c r="C117" s="23">
        <v>2</v>
      </c>
      <c r="D117" t="s">
        <v>214</v>
      </c>
      <c r="E117" s="2" t="s">
        <v>25</v>
      </c>
      <c r="F117" s="9">
        <v>38</v>
      </c>
      <c r="G117" s="9">
        <v>673</v>
      </c>
      <c r="H117" s="10">
        <v>12.5</v>
      </c>
      <c r="I117" s="9">
        <v>8402</v>
      </c>
      <c r="J117" s="11">
        <v>0.5</v>
      </c>
      <c r="K117" s="11">
        <v>0.4</v>
      </c>
      <c r="L117" s="11">
        <v>0.1</v>
      </c>
      <c r="M117" s="11">
        <v>0.03</v>
      </c>
      <c r="N117" s="11">
        <v>0.02</v>
      </c>
      <c r="O117" s="11">
        <v>0.01</v>
      </c>
      <c r="P117" s="10">
        <v>96.5</v>
      </c>
      <c r="Q117" s="10">
        <v>109</v>
      </c>
    </row>
    <row r="118" spans="1:17" ht="18" x14ac:dyDescent="0.2">
      <c r="A118" s="20" t="s">
        <v>136</v>
      </c>
      <c r="B118" s="31">
        <v>72455</v>
      </c>
      <c r="C118" s="23">
        <v>3</v>
      </c>
      <c r="D118" t="s">
        <v>214</v>
      </c>
      <c r="E118" s="2" t="s">
        <v>18</v>
      </c>
      <c r="F118" s="9">
        <v>37</v>
      </c>
      <c r="G118" s="9">
        <v>637</v>
      </c>
      <c r="H118" s="10">
        <v>11.6</v>
      </c>
      <c r="I118" s="9">
        <v>7394</v>
      </c>
      <c r="J118" s="11">
        <v>1.1000000000000001</v>
      </c>
      <c r="K118" s="11">
        <v>0.5</v>
      </c>
      <c r="L118" s="11">
        <v>0.7</v>
      </c>
      <c r="M118" s="11">
        <v>7.0000000000000007E-2</v>
      </c>
      <c r="N118" s="11">
        <v>0.03</v>
      </c>
      <c r="O118" s="11">
        <v>0.04</v>
      </c>
      <c r="P118" s="10">
        <v>96.9</v>
      </c>
      <c r="Q118" s="10">
        <v>101.6</v>
      </c>
    </row>
    <row r="119" spans="1:17" ht="18" x14ac:dyDescent="0.2">
      <c r="A119" s="20" t="s">
        <v>133</v>
      </c>
      <c r="B119" s="31">
        <v>72455</v>
      </c>
      <c r="C119" s="23">
        <v>2</v>
      </c>
      <c r="D119" t="s">
        <v>214</v>
      </c>
      <c r="E119" s="2" t="s">
        <v>25</v>
      </c>
      <c r="F119" s="9">
        <v>29</v>
      </c>
      <c r="G119" s="9">
        <v>361</v>
      </c>
      <c r="H119" s="10">
        <v>5.8</v>
      </c>
      <c r="I119" s="9">
        <v>2085</v>
      </c>
      <c r="J119" s="11">
        <v>-0.5</v>
      </c>
      <c r="K119" s="11">
        <v>-0.5</v>
      </c>
      <c r="L119" s="11">
        <v>0</v>
      </c>
      <c r="M119" s="11">
        <v>-0.06</v>
      </c>
      <c r="N119" s="11">
        <v>-0.06</v>
      </c>
      <c r="O119" s="11">
        <v>0</v>
      </c>
      <c r="P119" s="10">
        <v>80.3</v>
      </c>
      <c r="Q119" s="10">
        <v>110.4</v>
      </c>
    </row>
    <row r="120" spans="1:17" ht="18" x14ac:dyDescent="0.2">
      <c r="A120" s="20" t="s">
        <v>137</v>
      </c>
      <c r="B120" s="31">
        <v>72455</v>
      </c>
      <c r="C120" s="23">
        <v>2</v>
      </c>
      <c r="D120" t="s">
        <v>214</v>
      </c>
      <c r="E120" s="2" t="s">
        <v>18</v>
      </c>
      <c r="F120" s="9">
        <v>25</v>
      </c>
      <c r="G120" s="9">
        <v>665</v>
      </c>
      <c r="H120" s="10">
        <v>15.8</v>
      </c>
      <c r="I120" s="9">
        <v>10504</v>
      </c>
      <c r="J120" s="11">
        <v>1.6</v>
      </c>
      <c r="K120" s="11">
        <v>1</v>
      </c>
      <c r="L120" s="11">
        <v>0.6</v>
      </c>
      <c r="M120" s="11">
        <v>0.1</v>
      </c>
      <c r="N120" s="11">
        <v>0.06</v>
      </c>
      <c r="O120" s="11">
        <v>0.03</v>
      </c>
      <c r="P120" s="10">
        <v>105.2</v>
      </c>
      <c r="Q120" s="10">
        <v>103.3</v>
      </c>
    </row>
    <row r="121" spans="1:17" ht="18" x14ac:dyDescent="0.2">
      <c r="A121" s="20" t="s">
        <v>134</v>
      </c>
      <c r="B121" s="31">
        <v>72455</v>
      </c>
      <c r="C121" s="23">
        <v>2</v>
      </c>
      <c r="D121" t="s">
        <v>214</v>
      </c>
      <c r="E121" s="2" t="s">
        <v>25</v>
      </c>
      <c r="F121" s="9">
        <v>34</v>
      </c>
      <c r="G121" s="9">
        <v>481</v>
      </c>
      <c r="H121" s="10">
        <v>4.2</v>
      </c>
      <c r="I121" s="9">
        <v>2019</v>
      </c>
      <c r="J121" s="11">
        <v>-0.5</v>
      </c>
      <c r="K121" s="11">
        <v>-0.4</v>
      </c>
      <c r="L121" s="11">
        <v>0</v>
      </c>
      <c r="M121" s="11">
        <v>-0.04</v>
      </c>
      <c r="N121" s="11">
        <v>-0.04</v>
      </c>
      <c r="O121" s="11">
        <v>0</v>
      </c>
      <c r="P121" s="10">
        <v>81.400000000000006</v>
      </c>
      <c r="Q121" s="10">
        <v>110.3</v>
      </c>
    </row>
    <row r="122" spans="1:17" ht="18" x14ac:dyDescent="0.2">
      <c r="A122" s="20" t="s">
        <v>142</v>
      </c>
      <c r="B122" s="31">
        <v>69267</v>
      </c>
      <c r="C122" s="23">
        <v>2</v>
      </c>
      <c r="D122" t="s">
        <v>214</v>
      </c>
      <c r="E122" s="2" t="s">
        <v>25</v>
      </c>
      <c r="F122" s="9">
        <v>44</v>
      </c>
      <c r="G122" s="9">
        <v>671</v>
      </c>
      <c r="H122" s="10">
        <v>5.8</v>
      </c>
      <c r="I122" s="9">
        <v>3909</v>
      </c>
      <c r="J122" s="11">
        <v>0.3</v>
      </c>
      <c r="K122" s="11">
        <v>-0.1</v>
      </c>
      <c r="L122" s="11">
        <v>0.3</v>
      </c>
      <c r="M122" s="11">
        <v>0.02</v>
      </c>
      <c r="N122" s="11">
        <v>0</v>
      </c>
      <c r="O122" s="11">
        <v>0.02</v>
      </c>
      <c r="P122" s="10">
        <v>90.9</v>
      </c>
      <c r="Q122" s="10">
        <v>106.2</v>
      </c>
    </row>
    <row r="123" spans="1:17" ht="18" x14ac:dyDescent="0.2">
      <c r="A123" s="20" t="s">
        <v>141</v>
      </c>
      <c r="B123" s="31">
        <v>69267</v>
      </c>
      <c r="C123" s="23">
        <v>2</v>
      </c>
      <c r="D123" t="s">
        <v>214</v>
      </c>
      <c r="E123" s="2" t="s">
        <v>25</v>
      </c>
      <c r="F123" s="9">
        <v>21</v>
      </c>
      <c r="G123" s="9">
        <v>80</v>
      </c>
      <c r="H123" s="10">
        <v>13.9</v>
      </c>
      <c r="I123" s="9">
        <v>1105</v>
      </c>
      <c r="J123" s="11">
        <v>0.2</v>
      </c>
      <c r="K123" s="11">
        <v>0.1</v>
      </c>
      <c r="L123" s="11">
        <v>0.1</v>
      </c>
      <c r="M123" s="11">
        <v>0.08</v>
      </c>
      <c r="N123" s="11">
        <v>0.04</v>
      </c>
      <c r="O123" s="11">
        <v>0.04</v>
      </c>
      <c r="P123" s="10">
        <v>98.7</v>
      </c>
      <c r="Q123" s="10">
        <v>101.6</v>
      </c>
    </row>
    <row r="124" spans="1:17" ht="18" x14ac:dyDescent="0.2">
      <c r="A124" s="20" t="s">
        <v>144</v>
      </c>
      <c r="B124" s="31">
        <v>69267</v>
      </c>
      <c r="C124" s="23">
        <v>1</v>
      </c>
      <c r="D124" t="s">
        <v>214</v>
      </c>
      <c r="E124" s="2" t="s">
        <v>25</v>
      </c>
      <c r="F124" s="9">
        <v>41</v>
      </c>
      <c r="G124" s="9">
        <v>508</v>
      </c>
      <c r="H124" s="10">
        <v>10.5</v>
      </c>
      <c r="I124" s="9">
        <v>5337</v>
      </c>
      <c r="J124" s="11">
        <v>0.7</v>
      </c>
      <c r="K124" s="11">
        <v>0.4</v>
      </c>
      <c r="L124" s="11">
        <v>0.3</v>
      </c>
      <c r="M124" s="11">
        <v>0.06</v>
      </c>
      <c r="N124" s="11">
        <v>0.03</v>
      </c>
      <c r="O124" s="11">
        <v>0.02</v>
      </c>
      <c r="P124" s="10">
        <v>99.9</v>
      </c>
      <c r="Q124" s="10">
        <v>105.3</v>
      </c>
    </row>
    <row r="125" spans="1:17" ht="18" x14ac:dyDescent="0.2">
      <c r="A125" s="20" t="s">
        <v>143</v>
      </c>
      <c r="B125" s="31">
        <v>69267</v>
      </c>
      <c r="C125" s="23">
        <v>3</v>
      </c>
      <c r="D125" t="s">
        <v>214</v>
      </c>
      <c r="E125" s="2" t="s">
        <v>25</v>
      </c>
      <c r="F125" s="9">
        <v>26</v>
      </c>
      <c r="G125" s="9">
        <v>354</v>
      </c>
      <c r="H125" s="10">
        <v>10.3</v>
      </c>
      <c r="I125" s="9">
        <v>3651</v>
      </c>
      <c r="J125" s="11">
        <v>0.4</v>
      </c>
      <c r="K125" s="11">
        <v>0.3</v>
      </c>
      <c r="L125" s="11">
        <v>0.1</v>
      </c>
      <c r="M125" s="11">
        <v>0.04</v>
      </c>
      <c r="N125" s="11">
        <v>0.03</v>
      </c>
      <c r="O125" s="11">
        <v>0.01</v>
      </c>
      <c r="P125" s="10">
        <v>100.3</v>
      </c>
      <c r="Q125" s="10">
        <v>108</v>
      </c>
    </row>
    <row r="126" spans="1:17" ht="18" x14ac:dyDescent="0.2">
      <c r="A126" s="20" t="s">
        <v>145</v>
      </c>
      <c r="B126" s="31">
        <v>69267</v>
      </c>
      <c r="C126" s="23">
        <v>3</v>
      </c>
      <c r="D126" t="s">
        <v>214</v>
      </c>
      <c r="E126" s="2" t="s">
        <v>25</v>
      </c>
      <c r="F126" s="9">
        <v>31</v>
      </c>
      <c r="G126" s="9">
        <v>219</v>
      </c>
      <c r="H126" s="10">
        <v>17.5</v>
      </c>
      <c r="I126" s="9">
        <v>3831</v>
      </c>
      <c r="J126" s="11">
        <v>0.9</v>
      </c>
      <c r="K126" s="11">
        <v>0.5</v>
      </c>
      <c r="L126" s="11">
        <v>0.4</v>
      </c>
      <c r="M126" s="11">
        <v>0.16</v>
      </c>
      <c r="N126" s="11">
        <v>0.09</v>
      </c>
      <c r="O126" s="11">
        <v>7.0000000000000007E-2</v>
      </c>
      <c r="P126" s="10">
        <v>116.2</v>
      </c>
      <c r="Q126" s="10">
        <v>96</v>
      </c>
    </row>
    <row r="127" spans="1:17" ht="18" x14ac:dyDescent="0.2">
      <c r="A127" s="20" t="s">
        <v>140</v>
      </c>
      <c r="B127" s="31">
        <v>69267</v>
      </c>
      <c r="C127" s="23">
        <v>1</v>
      </c>
      <c r="D127" t="s">
        <v>214</v>
      </c>
      <c r="E127" s="2" t="s">
        <v>25</v>
      </c>
      <c r="F127" s="9">
        <v>15</v>
      </c>
      <c r="G127" s="9">
        <v>90</v>
      </c>
      <c r="H127" s="10">
        <v>7.2</v>
      </c>
      <c r="I127" s="9">
        <v>649000</v>
      </c>
      <c r="J127" s="11">
        <v>-0.1</v>
      </c>
      <c r="K127" s="11">
        <v>-0.1</v>
      </c>
      <c r="L127" s="11">
        <v>0</v>
      </c>
      <c r="M127" s="11">
        <v>-0.04</v>
      </c>
      <c r="N127" s="11">
        <v>-0.06</v>
      </c>
      <c r="O127" s="11">
        <v>0.02</v>
      </c>
      <c r="P127" s="10">
        <v>79.900000000000006</v>
      </c>
      <c r="Q127" s="10">
        <v>106</v>
      </c>
    </row>
    <row r="128" spans="1:17" ht="18" x14ac:dyDescent="0.2">
      <c r="A128" s="20" t="s">
        <v>139</v>
      </c>
      <c r="B128" s="31">
        <v>69267</v>
      </c>
      <c r="C128" s="23">
        <v>2</v>
      </c>
      <c r="D128" t="s">
        <v>214</v>
      </c>
      <c r="E128" s="2" t="s">
        <v>25</v>
      </c>
      <c r="F128" s="9">
        <v>16</v>
      </c>
      <c r="G128" s="9">
        <v>77</v>
      </c>
      <c r="H128" s="10">
        <v>0.6</v>
      </c>
      <c r="I128" s="9">
        <v>48000</v>
      </c>
      <c r="J128" s="11">
        <v>-0.2</v>
      </c>
      <c r="K128" s="11">
        <v>-0.2</v>
      </c>
      <c r="L128" s="11">
        <v>0</v>
      </c>
      <c r="M128" s="11">
        <v>-0.13</v>
      </c>
      <c r="N128" s="11">
        <v>-0.13</v>
      </c>
      <c r="O128" s="11">
        <v>0</v>
      </c>
      <c r="P128" s="10">
        <v>65.900000000000006</v>
      </c>
      <c r="Q128" s="10">
        <v>109.2</v>
      </c>
    </row>
    <row r="129" spans="1:17" ht="18" x14ac:dyDescent="0.2">
      <c r="A129" s="20" t="s">
        <v>146</v>
      </c>
      <c r="B129" s="31">
        <v>69267</v>
      </c>
      <c r="C129" s="23">
        <v>3</v>
      </c>
      <c r="D129" t="s">
        <v>214</v>
      </c>
      <c r="E129" s="2" t="s">
        <v>25</v>
      </c>
      <c r="F129" s="9">
        <v>43</v>
      </c>
      <c r="G129" s="9">
        <v>720</v>
      </c>
      <c r="H129" s="10">
        <v>13.2</v>
      </c>
      <c r="I129" s="9">
        <v>9488</v>
      </c>
      <c r="J129" s="11">
        <v>2</v>
      </c>
      <c r="K129" s="11">
        <v>1.2</v>
      </c>
      <c r="L129" s="11">
        <v>0.9</v>
      </c>
      <c r="M129" s="11">
        <v>0.11</v>
      </c>
      <c r="N129" s="11">
        <v>7.0000000000000007E-2</v>
      </c>
      <c r="O129" s="11">
        <v>0.05</v>
      </c>
      <c r="P129" s="10">
        <v>107.7</v>
      </c>
      <c r="Q129" s="10">
        <v>100.7</v>
      </c>
    </row>
    <row r="130" spans="1:17" ht="18" x14ac:dyDescent="0.2">
      <c r="A130" s="20" t="s">
        <v>147</v>
      </c>
      <c r="B130" s="31">
        <v>68595</v>
      </c>
      <c r="C130" s="23">
        <v>2</v>
      </c>
      <c r="D130" t="s">
        <v>214</v>
      </c>
      <c r="E130" s="2" t="s">
        <v>25</v>
      </c>
      <c r="F130" s="9">
        <v>42</v>
      </c>
      <c r="G130" s="9">
        <v>687</v>
      </c>
      <c r="H130" s="10">
        <v>9.5</v>
      </c>
      <c r="I130" s="9">
        <v>6526</v>
      </c>
      <c r="J130" s="11">
        <v>0.9</v>
      </c>
      <c r="K130" s="11">
        <v>0.1</v>
      </c>
      <c r="L130" s="11">
        <v>0.8</v>
      </c>
      <c r="M130" s="11">
        <v>0.05</v>
      </c>
      <c r="N130" s="11">
        <v>0</v>
      </c>
      <c r="O130" s="11">
        <v>0.05</v>
      </c>
      <c r="P130" s="10">
        <v>92.8</v>
      </c>
      <c r="Q130" s="10">
        <v>100.7</v>
      </c>
    </row>
    <row r="131" spans="1:17" ht="18" x14ac:dyDescent="0.2">
      <c r="A131" s="20" t="s">
        <v>148</v>
      </c>
      <c r="B131" s="31">
        <v>68595</v>
      </c>
      <c r="C131" s="23">
        <v>3</v>
      </c>
      <c r="D131" t="s">
        <v>214</v>
      </c>
      <c r="E131" s="2" t="s">
        <v>18</v>
      </c>
      <c r="F131" s="9">
        <v>37</v>
      </c>
      <c r="G131" s="9">
        <v>1041</v>
      </c>
      <c r="H131" s="10">
        <v>12.2</v>
      </c>
      <c r="I131" s="9">
        <v>12656</v>
      </c>
      <c r="J131" s="11">
        <v>3.1</v>
      </c>
      <c r="K131" s="11">
        <v>1.9</v>
      </c>
      <c r="L131" s="11">
        <v>1.2</v>
      </c>
      <c r="M131" s="11">
        <v>0.12</v>
      </c>
      <c r="N131" s="11">
        <v>7.0000000000000007E-2</v>
      </c>
      <c r="O131" s="11">
        <v>0.05</v>
      </c>
      <c r="P131" s="10">
        <v>115.1</v>
      </c>
      <c r="Q131" s="10">
        <v>101.2</v>
      </c>
    </row>
    <row r="132" spans="1:17" ht="18" x14ac:dyDescent="0.2">
      <c r="A132" s="20" t="s">
        <v>150</v>
      </c>
      <c r="B132" s="31">
        <v>66710</v>
      </c>
      <c r="C132" s="23">
        <v>2</v>
      </c>
      <c r="D132" t="s">
        <v>214</v>
      </c>
      <c r="E132" s="2" t="s">
        <v>18</v>
      </c>
      <c r="F132" s="9">
        <v>43</v>
      </c>
      <c r="G132" s="9">
        <v>1008</v>
      </c>
      <c r="H132" s="10">
        <v>7.4</v>
      </c>
      <c r="I132" s="9">
        <v>7493</v>
      </c>
      <c r="J132" s="11">
        <v>0.6</v>
      </c>
      <c r="K132" s="11">
        <v>0.1</v>
      </c>
      <c r="L132" s="11">
        <v>0.5</v>
      </c>
      <c r="M132" s="11">
        <v>0.02</v>
      </c>
      <c r="N132" s="11">
        <v>0</v>
      </c>
      <c r="O132" s="11">
        <v>0.02</v>
      </c>
      <c r="P132" s="10">
        <v>92.8</v>
      </c>
      <c r="Q132" s="10">
        <v>106.1</v>
      </c>
    </row>
    <row r="133" spans="1:17" ht="18" x14ac:dyDescent="0.2">
      <c r="A133" s="20" t="s">
        <v>156</v>
      </c>
      <c r="B133" s="31">
        <v>66079</v>
      </c>
      <c r="C133" s="23">
        <v>2</v>
      </c>
      <c r="D133" t="s">
        <v>213</v>
      </c>
      <c r="E133" s="2" t="s">
        <v>157</v>
      </c>
      <c r="F133" s="9">
        <v>36</v>
      </c>
      <c r="G133" s="9">
        <v>973</v>
      </c>
      <c r="H133" s="10">
        <v>12.2</v>
      </c>
      <c r="I133" s="9">
        <v>11866</v>
      </c>
      <c r="J133" s="11">
        <v>1.9</v>
      </c>
      <c r="K133" s="11">
        <v>0.9</v>
      </c>
      <c r="L133" s="11">
        <v>1</v>
      </c>
      <c r="M133" s="11">
        <v>0.08</v>
      </c>
      <c r="N133" s="11">
        <v>0.04</v>
      </c>
      <c r="O133" s="11">
        <v>0.04</v>
      </c>
      <c r="P133" s="10">
        <v>99.3</v>
      </c>
      <c r="Q133" s="10">
        <v>101.7</v>
      </c>
    </row>
    <row r="134" spans="1:17" ht="18" x14ac:dyDescent="0.2">
      <c r="A134" s="20" t="s">
        <v>161</v>
      </c>
      <c r="B134" s="31">
        <v>66079</v>
      </c>
      <c r="C134" s="23">
        <v>3</v>
      </c>
      <c r="D134" t="s">
        <v>214</v>
      </c>
      <c r="E134" s="2" t="s">
        <v>25</v>
      </c>
      <c r="F134" s="9">
        <v>34</v>
      </c>
      <c r="G134" s="9">
        <v>539</v>
      </c>
      <c r="H134" s="10">
        <v>13.1</v>
      </c>
      <c r="I134" s="9">
        <v>7072</v>
      </c>
      <c r="J134" s="11">
        <v>0.7</v>
      </c>
      <c r="K134" s="11">
        <v>0.5</v>
      </c>
      <c r="L134" s="11">
        <v>0.2</v>
      </c>
      <c r="M134" s="11">
        <v>0.05</v>
      </c>
      <c r="N134" s="11">
        <v>0.04</v>
      </c>
      <c r="O134" s="11">
        <v>0.01</v>
      </c>
      <c r="P134" s="10">
        <v>98.9</v>
      </c>
      <c r="Q134" s="10">
        <v>107.5</v>
      </c>
    </row>
    <row r="135" spans="1:17" ht="18" x14ac:dyDescent="0.2">
      <c r="A135" s="20" t="s">
        <v>159</v>
      </c>
      <c r="B135" s="31">
        <v>66079</v>
      </c>
      <c r="C135" s="23">
        <v>4</v>
      </c>
      <c r="D135" t="s">
        <v>214</v>
      </c>
      <c r="E135" s="2" t="s">
        <v>25</v>
      </c>
      <c r="F135" s="9">
        <v>35</v>
      </c>
      <c r="G135" s="9">
        <v>449</v>
      </c>
      <c r="H135" s="10">
        <v>3.7</v>
      </c>
      <c r="I135" s="9">
        <v>1646</v>
      </c>
      <c r="J135" s="11">
        <v>-0.6</v>
      </c>
      <c r="K135" s="11">
        <v>-0.6</v>
      </c>
      <c r="L135" s="11">
        <v>0</v>
      </c>
      <c r="M135" s="11">
        <v>-0.05</v>
      </c>
      <c r="N135" s="11">
        <v>-0.05</v>
      </c>
      <c r="O135" s="11">
        <v>0</v>
      </c>
      <c r="P135" s="10">
        <v>79.2</v>
      </c>
      <c r="Q135" s="10">
        <v>109.7</v>
      </c>
    </row>
    <row r="136" spans="1:17" ht="18" x14ac:dyDescent="0.2">
      <c r="A136" s="20" t="s">
        <v>155</v>
      </c>
      <c r="B136" s="31">
        <v>66079</v>
      </c>
      <c r="C136" s="23">
        <v>4</v>
      </c>
      <c r="D136" t="s">
        <v>215</v>
      </c>
      <c r="E136" s="2" t="s">
        <v>29</v>
      </c>
      <c r="F136" s="9">
        <v>43</v>
      </c>
      <c r="G136" s="9">
        <v>792</v>
      </c>
      <c r="H136" s="10">
        <v>10.5</v>
      </c>
      <c r="I136" s="9">
        <v>8289</v>
      </c>
      <c r="J136" s="11">
        <v>1.6</v>
      </c>
      <c r="K136" s="11">
        <v>0.5</v>
      </c>
      <c r="L136" s="11">
        <v>1</v>
      </c>
      <c r="M136" s="11">
        <v>0.08</v>
      </c>
      <c r="N136" s="11">
        <v>0.03</v>
      </c>
      <c r="O136" s="11">
        <v>0.05</v>
      </c>
      <c r="P136" s="10">
        <v>100</v>
      </c>
      <c r="Q136" s="10">
        <v>99.7</v>
      </c>
    </row>
    <row r="137" spans="1:17" ht="18" x14ac:dyDescent="0.2">
      <c r="A137" s="20" t="s">
        <v>152</v>
      </c>
      <c r="B137" s="31">
        <v>66079</v>
      </c>
      <c r="C137" s="23">
        <v>2</v>
      </c>
      <c r="D137" t="s">
        <v>214</v>
      </c>
      <c r="E137" s="2" t="s">
        <v>29</v>
      </c>
      <c r="F137" s="9">
        <v>32</v>
      </c>
      <c r="G137" s="9">
        <v>471</v>
      </c>
      <c r="H137" s="10">
        <v>10</v>
      </c>
      <c r="I137" s="9">
        <v>4685</v>
      </c>
      <c r="J137" s="11">
        <v>0.6</v>
      </c>
      <c r="K137" s="11">
        <v>0.1</v>
      </c>
      <c r="L137" s="11">
        <v>0.5</v>
      </c>
      <c r="M137" s="11">
        <v>0.05</v>
      </c>
      <c r="N137" s="11">
        <v>0.01</v>
      </c>
      <c r="O137" s="11">
        <v>0.04</v>
      </c>
      <c r="P137" s="10">
        <v>93.8</v>
      </c>
      <c r="Q137" s="10">
        <v>102.1</v>
      </c>
    </row>
    <row r="138" spans="1:17" ht="18" x14ac:dyDescent="0.2">
      <c r="A138" s="20" t="s">
        <v>165</v>
      </c>
      <c r="B138" s="31">
        <v>66079</v>
      </c>
      <c r="C138" s="23">
        <v>5</v>
      </c>
      <c r="D138" t="s">
        <v>215</v>
      </c>
      <c r="E138" s="2" t="s">
        <v>18</v>
      </c>
      <c r="F138" s="9">
        <v>31</v>
      </c>
      <c r="G138" s="9">
        <v>520</v>
      </c>
      <c r="H138" s="10">
        <v>13.4</v>
      </c>
      <c r="I138" s="9">
        <v>6947</v>
      </c>
      <c r="J138" s="11">
        <v>1.1000000000000001</v>
      </c>
      <c r="K138" s="11">
        <v>0.9</v>
      </c>
      <c r="L138" s="11">
        <v>0.2</v>
      </c>
      <c r="M138" s="11">
        <v>0.08</v>
      </c>
      <c r="N138" s="11">
        <v>7.0000000000000007E-2</v>
      </c>
      <c r="O138" s="11">
        <v>0.02</v>
      </c>
      <c r="P138" s="10">
        <v>107.3</v>
      </c>
      <c r="Q138" s="10">
        <v>106.5</v>
      </c>
    </row>
    <row r="139" spans="1:17" ht="18" x14ac:dyDescent="0.2">
      <c r="A139" s="20" t="s">
        <v>153</v>
      </c>
      <c r="B139" s="31">
        <v>66079</v>
      </c>
      <c r="C139" s="23">
        <v>2</v>
      </c>
      <c r="D139" t="s">
        <v>214</v>
      </c>
      <c r="E139" s="2" t="s">
        <v>29</v>
      </c>
      <c r="F139" s="9">
        <v>28</v>
      </c>
      <c r="G139" s="9">
        <v>628</v>
      </c>
      <c r="H139" s="10">
        <v>11.8</v>
      </c>
      <c r="I139" s="9">
        <v>7401</v>
      </c>
      <c r="J139" s="11">
        <v>0.7</v>
      </c>
      <c r="K139" s="11">
        <v>0.5</v>
      </c>
      <c r="L139" s="11">
        <v>0.2</v>
      </c>
      <c r="M139" s="11">
        <v>0.05</v>
      </c>
      <c r="N139" s="11">
        <v>0.03</v>
      </c>
      <c r="O139" s="11">
        <v>0.01</v>
      </c>
      <c r="P139" s="10">
        <v>101.9</v>
      </c>
      <c r="Q139" s="10">
        <v>107.5</v>
      </c>
    </row>
    <row r="140" spans="1:17" ht="18" x14ac:dyDescent="0.2">
      <c r="A140" s="20" t="s">
        <v>154</v>
      </c>
      <c r="B140" s="31">
        <v>66079</v>
      </c>
      <c r="C140" s="23">
        <v>7</v>
      </c>
      <c r="D140" t="s">
        <v>215</v>
      </c>
      <c r="E140" s="2" t="s">
        <v>29</v>
      </c>
      <c r="F140" s="9">
        <v>44</v>
      </c>
      <c r="G140" s="9">
        <v>803</v>
      </c>
      <c r="H140" s="10">
        <v>10.8</v>
      </c>
      <c r="I140" s="9">
        <v>8702</v>
      </c>
      <c r="J140" s="11">
        <v>1</v>
      </c>
      <c r="K140" s="11">
        <v>0.4</v>
      </c>
      <c r="L140" s="11">
        <v>0.7</v>
      </c>
      <c r="M140" s="11">
        <v>0.05</v>
      </c>
      <c r="N140" s="11">
        <v>0.02</v>
      </c>
      <c r="O140" s="11">
        <v>0.03</v>
      </c>
      <c r="P140" s="10">
        <v>96.3</v>
      </c>
      <c r="Q140" s="10">
        <v>103.7</v>
      </c>
    </row>
    <row r="141" spans="1:17" ht="18" x14ac:dyDescent="0.2">
      <c r="A141" s="20" t="s">
        <v>164</v>
      </c>
      <c r="B141" s="31">
        <v>66079</v>
      </c>
      <c r="C141" s="23">
        <v>4</v>
      </c>
      <c r="D141" t="s">
        <v>215</v>
      </c>
      <c r="E141" s="2" t="s">
        <v>54</v>
      </c>
      <c r="F141" s="9">
        <v>41</v>
      </c>
      <c r="G141" s="9">
        <v>760</v>
      </c>
      <c r="H141" s="10">
        <v>12.6</v>
      </c>
      <c r="I141" s="9">
        <v>9597</v>
      </c>
      <c r="J141" s="11">
        <v>2.2000000000000002</v>
      </c>
      <c r="K141" s="11">
        <v>1</v>
      </c>
      <c r="L141" s="11">
        <v>1.2</v>
      </c>
      <c r="M141" s="11">
        <v>0.12</v>
      </c>
      <c r="N141" s="11">
        <v>0.05</v>
      </c>
      <c r="O141" s="11">
        <v>0.06</v>
      </c>
      <c r="P141" s="10">
        <v>106.9</v>
      </c>
      <c r="Q141" s="10">
        <v>97.4</v>
      </c>
    </row>
    <row r="142" spans="1:17" ht="18" x14ac:dyDescent="0.2">
      <c r="A142" s="20" t="s">
        <v>158</v>
      </c>
      <c r="B142" s="31">
        <v>66079</v>
      </c>
      <c r="C142" s="23">
        <v>2</v>
      </c>
      <c r="D142" t="s">
        <v>213</v>
      </c>
      <c r="E142" s="2" t="s">
        <v>157</v>
      </c>
      <c r="F142" s="9">
        <v>41</v>
      </c>
      <c r="G142" s="9">
        <v>881</v>
      </c>
      <c r="H142" s="10">
        <v>12.3</v>
      </c>
      <c r="I142" s="9">
        <v>10811</v>
      </c>
      <c r="J142" s="11">
        <v>2.2000000000000002</v>
      </c>
      <c r="K142" s="11">
        <v>1.4</v>
      </c>
      <c r="L142" s="11">
        <v>0.8</v>
      </c>
      <c r="M142" s="11">
        <v>0.1</v>
      </c>
      <c r="N142" s="11">
        <v>0.06</v>
      </c>
      <c r="O142" s="11">
        <v>0.04</v>
      </c>
      <c r="P142" s="10">
        <v>107.1</v>
      </c>
      <c r="Q142" s="10">
        <v>103</v>
      </c>
    </row>
    <row r="143" spans="1:17" ht="18" x14ac:dyDescent="0.2">
      <c r="A143" s="20" t="s">
        <v>163</v>
      </c>
      <c r="B143" s="31">
        <v>66079</v>
      </c>
      <c r="C143" s="23">
        <v>4</v>
      </c>
      <c r="D143" t="s">
        <v>215</v>
      </c>
      <c r="E143" s="2" t="s">
        <v>54</v>
      </c>
      <c r="F143" s="9">
        <v>41</v>
      </c>
      <c r="G143" s="9">
        <v>502</v>
      </c>
      <c r="H143" s="10">
        <v>12.5</v>
      </c>
      <c r="I143" s="9">
        <v>6265</v>
      </c>
      <c r="J143" s="11">
        <v>1.5</v>
      </c>
      <c r="K143" s="11">
        <v>0.9</v>
      </c>
      <c r="L143" s="11">
        <v>0.6</v>
      </c>
      <c r="M143" s="11">
        <v>0.12</v>
      </c>
      <c r="N143" s="11">
        <v>7.0000000000000007E-2</v>
      </c>
      <c r="O143" s="11">
        <v>0.04</v>
      </c>
      <c r="P143" s="10">
        <v>113.8</v>
      </c>
      <c r="Q143" s="10">
        <v>101.3</v>
      </c>
    </row>
    <row r="144" spans="1:17" ht="18" x14ac:dyDescent="0.2">
      <c r="A144" s="20" t="s">
        <v>160</v>
      </c>
      <c r="B144" s="31">
        <v>66079</v>
      </c>
      <c r="C144" s="23">
        <v>3</v>
      </c>
      <c r="D144" t="s">
        <v>214</v>
      </c>
      <c r="E144" s="2" t="s">
        <v>25</v>
      </c>
      <c r="F144" s="9">
        <v>17</v>
      </c>
      <c r="G144" s="9">
        <v>36</v>
      </c>
      <c r="H144" s="10">
        <v>5.5</v>
      </c>
      <c r="I144" s="9">
        <v>198000</v>
      </c>
      <c r="J144" s="11">
        <v>0</v>
      </c>
      <c r="K144" s="11">
        <v>-0.1</v>
      </c>
      <c r="L144" s="11">
        <v>0.1</v>
      </c>
      <c r="M144" s="11">
        <v>-0.02</v>
      </c>
      <c r="N144" s="11">
        <v>-0.11</v>
      </c>
      <c r="O144" s="11">
        <v>0.09</v>
      </c>
      <c r="P144" s="10">
        <v>64.900000000000006</v>
      </c>
      <c r="Q144" s="10">
        <v>91.6</v>
      </c>
    </row>
    <row r="145" spans="1:17" ht="18" x14ac:dyDescent="0.2">
      <c r="A145" s="20" t="s">
        <v>175</v>
      </c>
      <c r="B145" s="32">
        <f>37769+11661+10550</f>
        <v>59980</v>
      </c>
      <c r="C145" s="23">
        <v>3</v>
      </c>
      <c r="D145" t="s">
        <v>213</v>
      </c>
      <c r="E145" s="2" t="s">
        <v>18</v>
      </c>
      <c r="F145" s="9">
        <v>19</v>
      </c>
      <c r="G145" s="9">
        <v>99</v>
      </c>
      <c r="H145" s="10">
        <v>12.5</v>
      </c>
      <c r="I145" s="9">
        <v>1232</v>
      </c>
      <c r="J145" s="11">
        <v>0.2</v>
      </c>
      <c r="K145" s="11">
        <v>0.2</v>
      </c>
      <c r="L145" s="11">
        <v>0.1</v>
      </c>
      <c r="M145" s="11">
        <v>0.1</v>
      </c>
      <c r="N145" s="11">
        <v>7.0000000000000007E-2</v>
      </c>
      <c r="O145" s="11">
        <v>0.03</v>
      </c>
      <c r="P145" s="10">
        <v>106.3</v>
      </c>
      <c r="Q145" s="10">
        <v>103.2</v>
      </c>
    </row>
    <row r="146" spans="1:17" ht="18" x14ac:dyDescent="0.2">
      <c r="A146" s="20" t="s">
        <v>169</v>
      </c>
      <c r="B146" s="31">
        <f>52333+6459</f>
        <v>58792</v>
      </c>
      <c r="C146" s="23">
        <v>5</v>
      </c>
      <c r="D146" t="s">
        <v>213</v>
      </c>
      <c r="E146" s="2" t="s">
        <v>29</v>
      </c>
      <c r="F146" s="9">
        <v>20</v>
      </c>
      <c r="G146" s="9">
        <v>525</v>
      </c>
      <c r="H146" s="10">
        <v>14.1</v>
      </c>
      <c r="I146" s="9">
        <v>7383</v>
      </c>
      <c r="J146" s="11">
        <v>1.4</v>
      </c>
      <c r="K146" s="11">
        <v>0.9</v>
      </c>
      <c r="L146" s="11">
        <v>0.5</v>
      </c>
      <c r="M146" s="11">
        <v>0.11</v>
      </c>
      <c r="N146" s="11">
        <v>7.0000000000000007E-2</v>
      </c>
      <c r="O146" s="11">
        <v>0.04</v>
      </c>
      <c r="P146" s="10">
        <v>105.8</v>
      </c>
      <c r="Q146" s="10">
        <v>102.8</v>
      </c>
    </row>
    <row r="147" spans="1:17" ht="18" x14ac:dyDescent="0.2">
      <c r="A147" s="20" t="s">
        <v>185</v>
      </c>
      <c r="B147" s="32">
        <f>21198+13911+13911+6956</f>
        <v>55976</v>
      </c>
      <c r="C147" s="23">
        <v>7</v>
      </c>
      <c r="D147" t="s">
        <v>213</v>
      </c>
      <c r="E147" s="2" t="s">
        <v>29</v>
      </c>
      <c r="F147" s="9">
        <v>35</v>
      </c>
      <c r="G147" s="9">
        <v>616</v>
      </c>
      <c r="H147" s="10">
        <v>14</v>
      </c>
      <c r="I147" s="9">
        <v>8608</v>
      </c>
      <c r="J147" s="11">
        <v>1.6</v>
      </c>
      <c r="K147" s="11">
        <v>0.8</v>
      </c>
      <c r="L147" s="11">
        <v>0.8</v>
      </c>
      <c r="M147" s="11">
        <v>0.11</v>
      </c>
      <c r="N147" s="11">
        <v>0.05</v>
      </c>
      <c r="O147" s="11">
        <v>0.05</v>
      </c>
      <c r="P147" s="10">
        <v>104.4</v>
      </c>
      <c r="Q147" s="10">
        <v>100</v>
      </c>
    </row>
    <row r="148" spans="1:17" ht="18" x14ac:dyDescent="0.2">
      <c r="A148" s="20" t="s">
        <v>167</v>
      </c>
      <c r="B148" s="31">
        <v>54418</v>
      </c>
      <c r="C148" s="23">
        <v>2</v>
      </c>
      <c r="D148" t="s">
        <v>213</v>
      </c>
      <c r="E148" s="2" t="s">
        <v>29</v>
      </c>
      <c r="F148" s="9">
        <v>34</v>
      </c>
      <c r="G148" s="9">
        <v>373</v>
      </c>
      <c r="H148" s="10">
        <v>19.600000000000001</v>
      </c>
      <c r="I148" s="9">
        <v>7298</v>
      </c>
      <c r="J148" s="11">
        <v>1.5</v>
      </c>
      <c r="K148" s="11">
        <v>0.7</v>
      </c>
      <c r="L148" s="11">
        <v>0.9</v>
      </c>
      <c r="M148" s="11">
        <v>0.16</v>
      </c>
      <c r="N148" s="11">
        <v>7.0000000000000007E-2</v>
      </c>
      <c r="O148" s="11">
        <v>0.09</v>
      </c>
      <c r="P148" s="10">
        <v>106.5</v>
      </c>
      <c r="Q148" s="10">
        <v>91.6</v>
      </c>
    </row>
    <row r="149" spans="1:17" ht="18" x14ac:dyDescent="0.2">
      <c r="A149" s="20" t="s">
        <v>168</v>
      </c>
      <c r="B149" s="31">
        <v>53307</v>
      </c>
      <c r="C149" s="23">
        <v>5</v>
      </c>
      <c r="D149" t="s">
        <v>213</v>
      </c>
      <c r="E149" s="2" t="s">
        <v>29</v>
      </c>
      <c r="F149" s="9">
        <v>29</v>
      </c>
      <c r="G149" s="9">
        <v>384</v>
      </c>
      <c r="H149" s="10">
        <v>18.3</v>
      </c>
      <c r="I149" s="9">
        <v>7020</v>
      </c>
      <c r="J149" s="11">
        <v>1.5</v>
      </c>
      <c r="K149" s="11">
        <v>0.7</v>
      </c>
      <c r="L149" s="11">
        <v>0.9</v>
      </c>
      <c r="M149" s="11">
        <v>0.16</v>
      </c>
      <c r="N149" s="11">
        <v>7.0000000000000007E-2</v>
      </c>
      <c r="O149" s="11">
        <v>0.09</v>
      </c>
      <c r="P149" s="10">
        <v>105.1</v>
      </c>
      <c r="Q149" s="10">
        <v>92.4</v>
      </c>
    </row>
    <row r="150" spans="1:17" ht="18" x14ac:dyDescent="0.2">
      <c r="A150" s="20" t="s">
        <v>170</v>
      </c>
      <c r="B150" s="31">
        <v>49420</v>
      </c>
      <c r="C150" s="23">
        <v>2</v>
      </c>
      <c r="D150" t="s">
        <v>213</v>
      </c>
      <c r="E150" s="2" t="s">
        <v>29</v>
      </c>
      <c r="F150" s="9">
        <v>24</v>
      </c>
      <c r="G150" s="9">
        <v>247</v>
      </c>
      <c r="H150" s="10">
        <v>4.8</v>
      </c>
      <c r="I150" s="9">
        <v>1184</v>
      </c>
      <c r="J150" s="11">
        <v>0</v>
      </c>
      <c r="K150" s="11">
        <v>-0.2</v>
      </c>
      <c r="L150" s="11">
        <v>0.2</v>
      </c>
      <c r="M150" s="11">
        <v>0.01</v>
      </c>
      <c r="N150" s="11">
        <v>-0.02</v>
      </c>
      <c r="O150" s="11">
        <v>0.03</v>
      </c>
      <c r="P150" s="10">
        <v>84.8</v>
      </c>
      <c r="Q150" s="10">
        <v>104</v>
      </c>
    </row>
    <row r="151" spans="1:17" ht="18" x14ac:dyDescent="0.2">
      <c r="A151" s="20" t="s">
        <v>171</v>
      </c>
      <c r="B151" s="31">
        <v>48865</v>
      </c>
      <c r="C151" s="23">
        <v>3</v>
      </c>
      <c r="D151" t="s">
        <v>213</v>
      </c>
      <c r="E151" s="2" t="s">
        <v>29</v>
      </c>
      <c r="F151" s="9">
        <v>10</v>
      </c>
      <c r="G151" s="9">
        <v>58</v>
      </c>
      <c r="H151" s="10">
        <v>13.6</v>
      </c>
      <c r="I151" s="9">
        <v>793000</v>
      </c>
      <c r="J151" s="11">
        <v>0.2</v>
      </c>
      <c r="K151" s="11">
        <v>0.1</v>
      </c>
      <c r="L151" s="11">
        <v>0.1</v>
      </c>
      <c r="M151" s="11">
        <v>0.16</v>
      </c>
      <c r="N151" s="11">
        <v>0.09</v>
      </c>
      <c r="O151" s="11">
        <v>7.0000000000000007E-2</v>
      </c>
      <c r="P151" s="10">
        <v>156.5</v>
      </c>
      <c r="Q151" s="10">
        <v>96.4</v>
      </c>
    </row>
    <row r="152" spans="1:17" ht="18" x14ac:dyDescent="0.2">
      <c r="A152" s="20" t="s">
        <v>177</v>
      </c>
      <c r="B152" s="31">
        <f>36094+5553+4998</f>
        <v>46645</v>
      </c>
      <c r="C152" s="23">
        <v>4</v>
      </c>
      <c r="D152" t="s">
        <v>213</v>
      </c>
      <c r="E152" s="2" t="s">
        <v>29</v>
      </c>
      <c r="F152" s="9">
        <v>28</v>
      </c>
      <c r="G152" s="9">
        <v>594</v>
      </c>
      <c r="H152" s="10">
        <v>11.4</v>
      </c>
      <c r="I152" s="9">
        <v>6789</v>
      </c>
      <c r="J152" s="11">
        <v>0.4</v>
      </c>
      <c r="K152" s="11">
        <v>0</v>
      </c>
      <c r="L152" s="11">
        <v>0.3</v>
      </c>
      <c r="M152" s="11">
        <v>0.03</v>
      </c>
      <c r="N152" s="11">
        <v>0</v>
      </c>
      <c r="O152" s="11">
        <v>0.02</v>
      </c>
      <c r="P152" s="10">
        <v>92.6</v>
      </c>
      <c r="Q152" s="10">
        <v>105.6</v>
      </c>
    </row>
    <row r="153" spans="1:17" ht="18" x14ac:dyDescent="0.2">
      <c r="A153" s="20" t="s">
        <v>172</v>
      </c>
      <c r="B153" s="32">
        <v>42757</v>
      </c>
      <c r="C153" s="23">
        <v>3</v>
      </c>
      <c r="D153" t="s">
        <v>213</v>
      </c>
      <c r="E153" s="2" t="s">
        <v>29</v>
      </c>
      <c r="F153" s="9">
        <v>10</v>
      </c>
      <c r="G153" s="9">
        <v>131</v>
      </c>
      <c r="H153" s="10">
        <v>6.5</v>
      </c>
      <c r="I153" s="9">
        <v>849000</v>
      </c>
      <c r="J153" s="11">
        <v>-0.1</v>
      </c>
      <c r="K153" s="11">
        <v>0</v>
      </c>
      <c r="L153" s="11">
        <v>-0.1</v>
      </c>
      <c r="M153" s="11">
        <v>-0.03</v>
      </c>
      <c r="N153" s="11">
        <v>-0.01</v>
      </c>
      <c r="O153" s="11">
        <v>-0.02</v>
      </c>
      <c r="P153" s="10">
        <v>88.9</v>
      </c>
      <c r="Q153" s="10">
        <v>114.4</v>
      </c>
    </row>
    <row r="154" spans="1:17" ht="18" x14ac:dyDescent="0.2">
      <c r="A154" s="20" t="s">
        <v>176</v>
      </c>
      <c r="B154" s="32">
        <f>36178+3887</f>
        <v>40065</v>
      </c>
      <c r="C154" s="23">
        <v>1</v>
      </c>
      <c r="D154" t="s">
        <v>214</v>
      </c>
      <c r="E154" s="2" t="s">
        <v>25</v>
      </c>
      <c r="F154" s="9">
        <v>11</v>
      </c>
      <c r="G154" s="9">
        <v>52</v>
      </c>
      <c r="H154" s="10">
        <v>0.5</v>
      </c>
      <c r="I154" s="9">
        <v>26000</v>
      </c>
      <c r="J154" s="11">
        <v>-0.1</v>
      </c>
      <c r="K154" s="11">
        <v>-0.1</v>
      </c>
      <c r="L154" s="11">
        <v>0</v>
      </c>
      <c r="M154" s="11">
        <v>-0.09</v>
      </c>
      <c r="N154" s="11">
        <v>-0.11</v>
      </c>
      <c r="O154" s="11">
        <v>0.02</v>
      </c>
      <c r="P154" s="10">
        <v>66.7</v>
      </c>
      <c r="Q154" s="10">
        <v>106.5</v>
      </c>
    </row>
    <row r="155" spans="1:17" ht="18" x14ac:dyDescent="0.2">
      <c r="A155" s="20" t="s">
        <v>174</v>
      </c>
      <c r="B155" s="31">
        <f>25173+13911</f>
        <v>39084</v>
      </c>
      <c r="C155" s="23">
        <v>9</v>
      </c>
      <c r="D155" t="s">
        <v>213</v>
      </c>
      <c r="E155" s="2" t="s">
        <v>29</v>
      </c>
      <c r="F155" s="9">
        <v>33</v>
      </c>
      <c r="G155" s="9">
        <v>380</v>
      </c>
      <c r="H155" s="10">
        <v>5</v>
      </c>
      <c r="I155" s="9">
        <v>1894</v>
      </c>
      <c r="J155" s="11">
        <v>-0.3</v>
      </c>
      <c r="K155" s="11">
        <v>-0.3</v>
      </c>
      <c r="L155" s="11">
        <v>0</v>
      </c>
      <c r="M155" s="11">
        <v>-0.03</v>
      </c>
      <c r="N155" s="11">
        <v>-0.03</v>
      </c>
      <c r="O155" s="11">
        <v>0</v>
      </c>
      <c r="P155" s="10">
        <v>82.4</v>
      </c>
      <c r="Q155" s="10">
        <v>109.3</v>
      </c>
    </row>
    <row r="156" spans="1:17" ht="18" x14ac:dyDescent="0.2">
      <c r="A156" s="20" t="s">
        <v>184</v>
      </c>
      <c r="B156" s="31">
        <f>23322+9995+3887</f>
        <v>37204</v>
      </c>
      <c r="C156" s="23">
        <v>5</v>
      </c>
      <c r="D156" t="s">
        <v>213</v>
      </c>
      <c r="E156" s="2" t="s">
        <v>29</v>
      </c>
      <c r="F156" s="9">
        <v>14</v>
      </c>
      <c r="G156" s="9">
        <v>154</v>
      </c>
      <c r="H156" s="10">
        <v>14.8</v>
      </c>
      <c r="I156" s="9">
        <v>2279</v>
      </c>
      <c r="J156" s="11">
        <v>0.5</v>
      </c>
      <c r="K156" s="11">
        <v>0.3</v>
      </c>
      <c r="L156" s="11">
        <v>0.2</v>
      </c>
      <c r="M156" s="11">
        <v>0.13</v>
      </c>
      <c r="N156" s="11">
        <v>0.08</v>
      </c>
      <c r="O156" s="11">
        <v>0.05</v>
      </c>
      <c r="P156" s="10">
        <v>109.7</v>
      </c>
      <c r="Q156" s="10">
        <v>99.2</v>
      </c>
    </row>
    <row r="157" spans="1:17" ht="18" x14ac:dyDescent="0.2">
      <c r="A157" s="20" t="s">
        <v>183</v>
      </c>
      <c r="B157" s="31">
        <f>25543+11106</f>
        <v>36649</v>
      </c>
      <c r="C157" s="23">
        <v>2</v>
      </c>
      <c r="D157" t="s">
        <v>213</v>
      </c>
      <c r="E157" s="2" t="s">
        <v>29</v>
      </c>
      <c r="F157" s="9">
        <v>25</v>
      </c>
      <c r="G157" s="9">
        <v>440</v>
      </c>
      <c r="H157" s="10">
        <v>2.9</v>
      </c>
      <c r="I157" s="9">
        <v>1284</v>
      </c>
      <c r="J157" s="11">
        <v>-0.7</v>
      </c>
      <c r="K157" s="11">
        <v>-0.8</v>
      </c>
      <c r="L157" s="11">
        <v>0.1</v>
      </c>
      <c r="M157" s="11">
        <v>-0.06</v>
      </c>
      <c r="N157" s="11">
        <v>-7.0000000000000007E-2</v>
      </c>
      <c r="O157" s="11">
        <v>0.01</v>
      </c>
      <c r="P157" s="10">
        <v>73.5</v>
      </c>
      <c r="Q157" s="10">
        <v>107.8</v>
      </c>
    </row>
    <row r="158" spans="1:17" ht="18" x14ac:dyDescent="0.2">
      <c r="A158" s="20" t="s">
        <v>195</v>
      </c>
      <c r="B158" s="31">
        <f>12772+11661+9440</f>
        <v>33873</v>
      </c>
      <c r="C158" s="23">
        <v>5</v>
      </c>
      <c r="D158" t="s">
        <v>213</v>
      </c>
      <c r="E158" s="2" t="s">
        <v>29</v>
      </c>
      <c r="F158" s="9">
        <v>11</v>
      </c>
      <c r="G158" s="9">
        <v>107</v>
      </c>
      <c r="H158" s="10">
        <v>12.1</v>
      </c>
      <c r="I158" s="9">
        <v>1293</v>
      </c>
      <c r="J158" s="11">
        <v>0.1</v>
      </c>
      <c r="K158" s="11">
        <v>0.1</v>
      </c>
      <c r="L158" s="11">
        <v>0.1</v>
      </c>
      <c r="M158" s="11">
        <v>0.05</v>
      </c>
      <c r="N158" s="11">
        <v>0.03</v>
      </c>
      <c r="O158" s="11">
        <v>0.02</v>
      </c>
      <c r="P158" s="10">
        <v>98.6</v>
      </c>
      <c r="Q158" s="10">
        <v>105.7</v>
      </c>
    </row>
    <row r="159" spans="1:17" ht="18" x14ac:dyDescent="0.2">
      <c r="A159" s="20" t="s">
        <v>178</v>
      </c>
      <c r="B159" s="31">
        <v>32207</v>
      </c>
      <c r="C159" s="23">
        <v>4</v>
      </c>
      <c r="D159" t="s">
        <v>214</v>
      </c>
      <c r="E159" s="2" t="s">
        <v>25</v>
      </c>
      <c r="F159" s="9">
        <v>21</v>
      </c>
      <c r="G159" s="9">
        <v>486</v>
      </c>
      <c r="H159" s="10">
        <v>16.2</v>
      </c>
      <c r="I159" s="9">
        <v>7892</v>
      </c>
      <c r="J159" s="11">
        <v>1.8</v>
      </c>
      <c r="K159" s="11">
        <v>1.2</v>
      </c>
      <c r="L159" s="11">
        <v>0.6</v>
      </c>
      <c r="M159" s="11">
        <v>0.15</v>
      </c>
      <c r="N159" s="11">
        <v>0.1</v>
      </c>
      <c r="O159" s="11">
        <v>0.05</v>
      </c>
      <c r="P159" s="10">
        <v>116.6</v>
      </c>
      <c r="Q159" s="10">
        <v>100.6</v>
      </c>
    </row>
    <row r="160" spans="1:17" ht="18" x14ac:dyDescent="0.2">
      <c r="A160" s="20" t="s">
        <v>181</v>
      </c>
      <c r="B160" s="32">
        <f>27940+3887</f>
        <v>31827</v>
      </c>
      <c r="C160" s="23">
        <v>1</v>
      </c>
      <c r="D160" t="s">
        <v>213</v>
      </c>
      <c r="E160" s="2" t="s">
        <v>18</v>
      </c>
      <c r="F160" s="9">
        <v>12</v>
      </c>
      <c r="G160" s="9">
        <v>98</v>
      </c>
      <c r="H160" s="10">
        <v>1.2</v>
      </c>
      <c r="I160" s="9">
        <v>115000</v>
      </c>
      <c r="J160" s="11">
        <v>-0.1</v>
      </c>
      <c r="K160" s="11">
        <v>-0.3</v>
      </c>
      <c r="L160" s="11">
        <v>0.1</v>
      </c>
      <c r="M160" s="11">
        <v>-0.06</v>
      </c>
      <c r="N160" s="11">
        <v>-0.12</v>
      </c>
      <c r="O160" s="11">
        <v>0.05</v>
      </c>
      <c r="P160" s="10">
        <v>58.1</v>
      </c>
      <c r="Q160" s="10">
        <v>99.1</v>
      </c>
    </row>
    <row r="161" spans="1:17" ht="18" x14ac:dyDescent="0.2">
      <c r="A161" s="20" t="s">
        <v>179</v>
      </c>
      <c r="B161" s="32">
        <v>31096</v>
      </c>
      <c r="C161" s="23">
        <v>3</v>
      </c>
      <c r="D161" t="s">
        <v>213</v>
      </c>
      <c r="E161" s="2" t="s">
        <v>29</v>
      </c>
      <c r="F161" s="9">
        <v>1</v>
      </c>
      <c r="G161" s="9">
        <v>13</v>
      </c>
      <c r="H161" s="10">
        <v>15.8</v>
      </c>
      <c r="I161" s="9">
        <v>199000</v>
      </c>
      <c r="J161" s="11">
        <v>0.1</v>
      </c>
      <c r="K161" s="11">
        <v>0</v>
      </c>
      <c r="L161" s="11">
        <v>0</v>
      </c>
      <c r="M161" s="11">
        <v>0.17</v>
      </c>
      <c r="N161" s="11">
        <v>0.12</v>
      </c>
      <c r="O161" s="11">
        <v>0.04</v>
      </c>
      <c r="P161" s="10">
        <v>124.2</v>
      </c>
      <c r="Q161" s="10">
        <v>101.8</v>
      </c>
    </row>
    <row r="162" spans="1:17" ht="18" x14ac:dyDescent="0.2">
      <c r="A162" s="20" t="s">
        <v>180</v>
      </c>
      <c r="B162" s="32">
        <v>31096</v>
      </c>
      <c r="C162" s="23">
        <v>2</v>
      </c>
      <c r="D162" t="s">
        <v>213</v>
      </c>
      <c r="E162" s="2" t="s">
        <v>157</v>
      </c>
      <c r="F162" s="9">
        <v>12</v>
      </c>
      <c r="G162" s="9">
        <v>122</v>
      </c>
      <c r="H162" s="10">
        <v>13.4</v>
      </c>
      <c r="I162" s="9">
        <v>1628</v>
      </c>
      <c r="J162" s="11">
        <v>0.3</v>
      </c>
      <c r="K162" s="11">
        <v>0.2</v>
      </c>
      <c r="L162" s="11">
        <v>0.1</v>
      </c>
      <c r="M162" s="11">
        <v>0.11</v>
      </c>
      <c r="N162" s="11">
        <v>7.0000000000000007E-2</v>
      </c>
      <c r="O162" s="11">
        <v>0.04</v>
      </c>
      <c r="P162" s="10">
        <v>107.3</v>
      </c>
      <c r="Q162" s="10">
        <v>101.8</v>
      </c>
    </row>
    <row r="163" spans="1:17" ht="18" x14ac:dyDescent="0.2">
      <c r="A163" s="20" t="s">
        <v>188</v>
      </c>
      <c r="B163" s="31">
        <f>17214+11661+1666</f>
        <v>30541</v>
      </c>
      <c r="C163" s="23">
        <v>3</v>
      </c>
      <c r="D163" t="s">
        <v>213</v>
      </c>
      <c r="E163" s="2" t="s">
        <v>29</v>
      </c>
      <c r="F163" s="9">
        <v>19</v>
      </c>
      <c r="G163" s="9">
        <v>418</v>
      </c>
      <c r="H163" s="10">
        <v>6</v>
      </c>
      <c r="I163" s="9">
        <v>2527</v>
      </c>
      <c r="J163" s="11">
        <v>-0.3</v>
      </c>
      <c r="K163" s="11">
        <v>-0.3</v>
      </c>
      <c r="L163" s="11">
        <v>0</v>
      </c>
      <c r="M163" s="11">
        <v>-0.03</v>
      </c>
      <c r="N163" s="11">
        <v>-0.03</v>
      </c>
      <c r="O163" s="11">
        <v>0</v>
      </c>
      <c r="P163" s="10">
        <v>82.1</v>
      </c>
      <c r="Q163" s="10">
        <v>110.3</v>
      </c>
    </row>
    <row r="164" spans="1:17" ht="18" x14ac:dyDescent="0.2">
      <c r="A164" s="20" t="s">
        <v>186</v>
      </c>
      <c r="B164" s="31">
        <f>17769+11661</f>
        <v>29430</v>
      </c>
      <c r="C164" s="23">
        <v>2</v>
      </c>
      <c r="D164" t="s">
        <v>213</v>
      </c>
      <c r="E164" s="2" t="s">
        <v>29</v>
      </c>
      <c r="F164" s="9">
        <v>18</v>
      </c>
      <c r="G164" s="9">
        <v>147</v>
      </c>
      <c r="H164" s="10">
        <v>5.2</v>
      </c>
      <c r="I164" s="9">
        <v>769000</v>
      </c>
      <c r="J164" s="11">
        <v>0</v>
      </c>
      <c r="K164" s="11">
        <v>-0.1</v>
      </c>
      <c r="L164" s="11">
        <v>0</v>
      </c>
      <c r="M164" s="11">
        <v>0</v>
      </c>
      <c r="N164" s="11">
        <v>-0.01</v>
      </c>
      <c r="O164" s="11">
        <v>0.01</v>
      </c>
      <c r="P164" s="10">
        <v>87.7</v>
      </c>
      <c r="Q164" s="10">
        <v>108.2</v>
      </c>
    </row>
    <row r="165" spans="1:17" ht="18" x14ac:dyDescent="0.2">
      <c r="A165" s="20" t="s">
        <v>182</v>
      </c>
      <c r="B165" s="32">
        <v>27764</v>
      </c>
      <c r="C165" s="23">
        <v>2</v>
      </c>
      <c r="D165" t="s">
        <v>213</v>
      </c>
      <c r="E165" s="2" t="s">
        <v>29</v>
      </c>
      <c r="F165" s="9">
        <v>13</v>
      </c>
      <c r="G165" s="9">
        <v>103</v>
      </c>
      <c r="H165" s="10">
        <v>5.7</v>
      </c>
      <c r="I165" s="9">
        <v>589000</v>
      </c>
      <c r="J165" s="11">
        <v>-0.1</v>
      </c>
      <c r="K165" s="11">
        <v>-0.1</v>
      </c>
      <c r="L165" s="11">
        <v>0</v>
      </c>
      <c r="M165" s="11">
        <v>-0.03</v>
      </c>
      <c r="N165" s="11">
        <v>-0.03</v>
      </c>
      <c r="O165" s="11">
        <v>-0.01</v>
      </c>
      <c r="P165" s="10">
        <v>84.4</v>
      </c>
      <c r="Q165" s="10">
        <v>111.4</v>
      </c>
    </row>
    <row r="166" spans="1:17" ht="18" x14ac:dyDescent="0.2">
      <c r="A166" s="20" t="s">
        <v>193</v>
      </c>
      <c r="B166" s="32">
        <f>13911+9440+1987</f>
        <v>25338</v>
      </c>
      <c r="C166" s="23">
        <v>10</v>
      </c>
      <c r="D166" t="s">
        <v>213</v>
      </c>
      <c r="E166" s="2" t="s">
        <v>190</v>
      </c>
      <c r="F166" s="9">
        <v>15</v>
      </c>
      <c r="G166" s="9">
        <v>265</v>
      </c>
      <c r="H166" s="10">
        <v>12.3</v>
      </c>
      <c r="I166" s="9">
        <v>3248</v>
      </c>
      <c r="J166" s="11">
        <v>0.6</v>
      </c>
      <c r="K166" s="11">
        <v>0.6</v>
      </c>
      <c r="L166" s="11">
        <v>0</v>
      </c>
      <c r="M166" s="11">
        <v>0.09</v>
      </c>
      <c r="N166" s="11">
        <v>0.09</v>
      </c>
      <c r="O166" s="11">
        <v>0</v>
      </c>
      <c r="P166" s="10">
        <v>121.7</v>
      </c>
      <c r="Q166" s="10">
        <v>109.5</v>
      </c>
    </row>
    <row r="167" spans="1:17" ht="18" x14ac:dyDescent="0.2">
      <c r="A167" s="20" t="s">
        <v>197</v>
      </c>
      <c r="B167" s="32">
        <f>11924+9274+3975</f>
        <v>25173</v>
      </c>
      <c r="C167" s="23">
        <v>10</v>
      </c>
      <c r="D167" t="s">
        <v>213</v>
      </c>
      <c r="E167" s="2" t="s">
        <v>29</v>
      </c>
      <c r="F167" s="9">
        <v>10</v>
      </c>
      <c r="G167" s="9">
        <v>167</v>
      </c>
      <c r="H167" s="10">
        <v>16.399999999999999</v>
      </c>
      <c r="I167" s="9">
        <v>2736</v>
      </c>
      <c r="J167" s="11">
        <v>0.6</v>
      </c>
      <c r="K167" s="11">
        <v>0.3</v>
      </c>
      <c r="L167" s="11">
        <v>0.3</v>
      </c>
      <c r="M167" s="11">
        <v>0.15</v>
      </c>
      <c r="N167" s="11">
        <v>7.0000000000000007E-2</v>
      </c>
      <c r="O167" s="11">
        <v>0.08</v>
      </c>
      <c r="P167" s="10">
        <v>104.7</v>
      </c>
      <c r="Q167" s="10">
        <v>94.6</v>
      </c>
    </row>
    <row r="168" spans="1:17" ht="18" x14ac:dyDescent="0.2">
      <c r="A168" s="20" t="s">
        <v>189</v>
      </c>
      <c r="B168" s="32">
        <f>16659+4998</f>
        <v>21657</v>
      </c>
      <c r="C168" s="23">
        <v>3</v>
      </c>
      <c r="D168" t="s">
        <v>213</v>
      </c>
      <c r="E168" s="2" t="s">
        <v>190</v>
      </c>
      <c r="F168" s="9">
        <v>14</v>
      </c>
      <c r="G168" s="9">
        <v>136</v>
      </c>
      <c r="H168" s="10">
        <v>8.4</v>
      </c>
      <c r="I168" s="9">
        <v>1137</v>
      </c>
      <c r="J168" s="11">
        <v>0.1</v>
      </c>
      <c r="K168" s="11">
        <v>0.1</v>
      </c>
      <c r="L168" s="11">
        <v>0</v>
      </c>
      <c r="M168" s="11">
        <v>0.02</v>
      </c>
      <c r="N168" s="11">
        <v>0.02</v>
      </c>
      <c r="O168" s="11">
        <v>-0.01</v>
      </c>
      <c r="P168" s="10">
        <v>98.5</v>
      </c>
      <c r="Q168" s="10">
        <v>111.5</v>
      </c>
    </row>
    <row r="169" spans="1:17" ht="18" x14ac:dyDescent="0.2">
      <c r="A169" s="20" t="s">
        <v>194</v>
      </c>
      <c r="B169" s="32">
        <f>12772+4442+3887</f>
        <v>21101</v>
      </c>
      <c r="C169" s="23">
        <v>2</v>
      </c>
      <c r="D169" t="s">
        <v>213</v>
      </c>
      <c r="E169" s="2" t="s">
        <v>29</v>
      </c>
      <c r="F169" s="9">
        <v>4</v>
      </c>
      <c r="G169" s="9">
        <v>17</v>
      </c>
      <c r="H169" s="10">
        <v>-15</v>
      </c>
      <c r="I169" s="9">
        <v>-261</v>
      </c>
      <c r="J169" s="11">
        <v>-0.1</v>
      </c>
      <c r="K169" s="11">
        <v>-0.1</v>
      </c>
      <c r="L169" s="11">
        <v>0</v>
      </c>
      <c r="M169" s="11">
        <v>-0.24</v>
      </c>
      <c r="N169" s="11">
        <v>-0.33</v>
      </c>
      <c r="O169" s="11">
        <v>0.09</v>
      </c>
      <c r="P169" s="10">
        <v>33.700000000000003</v>
      </c>
      <c r="Q169" s="10">
        <v>92.2</v>
      </c>
    </row>
    <row r="170" spans="1:17" ht="18" x14ac:dyDescent="0.2">
      <c r="A170" s="20" t="s">
        <v>198</v>
      </c>
      <c r="B170" s="32">
        <f>11661+7949</f>
        <v>19610</v>
      </c>
      <c r="C170" s="23">
        <v>2</v>
      </c>
      <c r="D170" t="s">
        <v>213</v>
      </c>
      <c r="E170" s="2" t="s">
        <v>29</v>
      </c>
      <c r="F170" s="9">
        <v>6</v>
      </c>
      <c r="G170" s="9">
        <v>23</v>
      </c>
      <c r="H170" s="10">
        <v>-9.4</v>
      </c>
      <c r="I170" s="9">
        <v>-213</v>
      </c>
      <c r="J170" s="11">
        <v>-0.1</v>
      </c>
      <c r="K170" s="11">
        <v>-0.1</v>
      </c>
      <c r="L170" s="11">
        <v>0</v>
      </c>
      <c r="M170" s="11">
        <v>-0.24</v>
      </c>
      <c r="N170" s="11">
        <v>-0.26</v>
      </c>
      <c r="O170" s="11">
        <v>0.02</v>
      </c>
      <c r="P170" s="10">
        <v>45.7</v>
      </c>
      <c r="Q170" s="10">
        <v>106.2</v>
      </c>
    </row>
    <row r="171" spans="1:17" ht="18" x14ac:dyDescent="0.2">
      <c r="A171" s="20" t="s">
        <v>187</v>
      </c>
      <c r="B171" s="32">
        <v>17223</v>
      </c>
      <c r="C171" s="23">
        <v>6</v>
      </c>
      <c r="D171" t="s">
        <v>213</v>
      </c>
      <c r="E171" s="2" t="s">
        <v>29</v>
      </c>
      <c r="F171" s="9">
        <v>6</v>
      </c>
      <c r="G171" s="9">
        <v>29</v>
      </c>
      <c r="H171" s="10">
        <v>-3.7</v>
      </c>
      <c r="I171" s="9">
        <v>-107</v>
      </c>
      <c r="J171" s="11">
        <v>-0.1</v>
      </c>
      <c r="K171" s="11">
        <v>-0.1</v>
      </c>
      <c r="L171" s="11">
        <v>0</v>
      </c>
      <c r="M171" s="11">
        <v>-0.15</v>
      </c>
      <c r="N171" s="11">
        <v>-0.16</v>
      </c>
      <c r="O171" s="11">
        <v>0.02</v>
      </c>
      <c r="P171" s="10">
        <v>60</v>
      </c>
      <c r="Q171" s="10">
        <v>106.9</v>
      </c>
    </row>
    <row r="172" spans="1:17" ht="18" x14ac:dyDescent="0.2">
      <c r="A172" s="20" t="s">
        <v>191</v>
      </c>
      <c r="B172" s="32">
        <v>16103</v>
      </c>
      <c r="C172" s="23">
        <v>2</v>
      </c>
      <c r="D172" t="s">
        <v>213</v>
      </c>
      <c r="E172" s="2" t="s">
        <v>29</v>
      </c>
      <c r="F172" s="9">
        <v>4</v>
      </c>
      <c r="G172" s="9">
        <v>24</v>
      </c>
      <c r="H172" s="10">
        <v>6.8</v>
      </c>
      <c r="I172" s="9">
        <v>165000</v>
      </c>
      <c r="J172" s="11">
        <v>0</v>
      </c>
      <c r="K172" s="11">
        <v>0</v>
      </c>
      <c r="L172" s="11">
        <v>0</v>
      </c>
      <c r="M172" s="11">
        <v>0.01</v>
      </c>
      <c r="N172" s="11">
        <v>-0.05</v>
      </c>
      <c r="O172" s="11">
        <v>0.06</v>
      </c>
      <c r="P172" s="10">
        <v>78.2</v>
      </c>
      <c r="Q172" s="10">
        <v>98.4</v>
      </c>
    </row>
    <row r="173" spans="1:17" ht="18" x14ac:dyDescent="0.2">
      <c r="A173" s="20" t="s">
        <v>199</v>
      </c>
      <c r="B173" s="32">
        <f>11661+4442</f>
        <v>16103</v>
      </c>
      <c r="C173" s="23">
        <v>2</v>
      </c>
      <c r="D173" t="s">
        <v>213</v>
      </c>
      <c r="E173" s="2" t="s">
        <v>29</v>
      </c>
      <c r="F173" s="9">
        <v>9</v>
      </c>
      <c r="G173" s="9">
        <v>47</v>
      </c>
      <c r="H173" s="10">
        <v>8.5</v>
      </c>
      <c r="I173" s="9">
        <v>397000</v>
      </c>
      <c r="J173" s="11">
        <v>0.1</v>
      </c>
      <c r="K173" s="11">
        <v>0.1</v>
      </c>
      <c r="L173" s="11">
        <v>0</v>
      </c>
      <c r="M173" s="11">
        <v>0.06</v>
      </c>
      <c r="N173" s="11">
        <v>0.06</v>
      </c>
      <c r="O173" s="11">
        <v>0</v>
      </c>
      <c r="P173" s="10">
        <v>110.2</v>
      </c>
      <c r="Q173" s="10">
        <v>110.7</v>
      </c>
    </row>
    <row r="174" spans="1:17" ht="18" x14ac:dyDescent="0.2">
      <c r="A174" s="20" t="s">
        <v>192</v>
      </c>
      <c r="B174" s="32">
        <v>14437</v>
      </c>
      <c r="C174" s="23">
        <v>2</v>
      </c>
      <c r="D174" t="s">
        <v>213</v>
      </c>
      <c r="E174" s="2" t="s">
        <v>157</v>
      </c>
      <c r="F174" s="9">
        <v>4</v>
      </c>
      <c r="G174" s="9">
        <v>27</v>
      </c>
      <c r="H174" s="10">
        <v>4.8</v>
      </c>
      <c r="I174" s="9">
        <v>128000</v>
      </c>
      <c r="J174" s="11">
        <v>0</v>
      </c>
      <c r="K174" s="11">
        <v>0</v>
      </c>
      <c r="L174" s="11">
        <v>0.1</v>
      </c>
      <c r="M174" s="11">
        <v>0.02</v>
      </c>
      <c r="N174" s="11">
        <v>-7.0000000000000007E-2</v>
      </c>
      <c r="O174" s="11">
        <v>0.09</v>
      </c>
      <c r="P174" s="10">
        <v>68.3</v>
      </c>
      <c r="Q174" s="10">
        <v>92.9</v>
      </c>
    </row>
    <row r="175" spans="1:17" ht="18" x14ac:dyDescent="0.2">
      <c r="A175" s="20" t="s">
        <v>196</v>
      </c>
      <c r="B175" s="32">
        <v>12216</v>
      </c>
      <c r="C175" s="23">
        <v>1</v>
      </c>
      <c r="D175" t="s">
        <v>213</v>
      </c>
      <c r="E175" s="2" t="s">
        <v>29</v>
      </c>
      <c r="F175" s="9">
        <v>3</v>
      </c>
      <c r="G175" s="9">
        <v>11</v>
      </c>
      <c r="H175" s="10">
        <v>-18</v>
      </c>
      <c r="I175" s="9">
        <v>-192</v>
      </c>
      <c r="J175" s="11">
        <v>-0.1</v>
      </c>
      <c r="K175" s="11">
        <v>-0.1</v>
      </c>
      <c r="L175" s="11">
        <v>0</v>
      </c>
      <c r="M175" s="11">
        <v>-0.27</v>
      </c>
      <c r="N175" s="11">
        <v>-0.4</v>
      </c>
      <c r="O175" s="11">
        <v>0.14000000000000001</v>
      </c>
      <c r="P175" s="10">
        <v>14.9</v>
      </c>
      <c r="Q175" s="10">
        <v>83.2</v>
      </c>
    </row>
    <row r="176" spans="1:17" ht="18" x14ac:dyDescent="0.2">
      <c r="A176" s="20" t="s">
        <v>200</v>
      </c>
      <c r="B176" s="32">
        <v>11106</v>
      </c>
      <c r="C176" s="23">
        <v>4</v>
      </c>
      <c r="D176" t="s">
        <v>213</v>
      </c>
      <c r="E176" s="2" t="s">
        <v>29</v>
      </c>
      <c r="F176" s="9">
        <v>6</v>
      </c>
      <c r="G176" s="9">
        <v>63</v>
      </c>
      <c r="H176" s="10">
        <v>1</v>
      </c>
      <c r="I176" s="9">
        <v>65000</v>
      </c>
      <c r="J176" s="11">
        <v>-0.1</v>
      </c>
      <c r="K176" s="11">
        <v>-0.1</v>
      </c>
      <c r="L176" s="11">
        <v>0</v>
      </c>
      <c r="M176" s="11">
        <v>-0.05</v>
      </c>
      <c r="N176" s="11">
        <v>-0.04</v>
      </c>
      <c r="O176" s="11">
        <v>-0.01</v>
      </c>
      <c r="P176" s="10">
        <v>58.2</v>
      </c>
      <c r="Q176" s="10">
        <v>112.5</v>
      </c>
    </row>
    <row r="177" spans="1:17" ht="18" x14ac:dyDescent="0.2">
      <c r="A177" s="20" t="s">
        <v>202</v>
      </c>
      <c r="B177" s="32">
        <f>7774+2915</f>
        <v>10689</v>
      </c>
      <c r="C177" s="23">
        <v>3</v>
      </c>
      <c r="D177" t="s">
        <v>213</v>
      </c>
      <c r="E177" s="2" t="s">
        <v>29</v>
      </c>
      <c r="F177" s="9">
        <v>8</v>
      </c>
      <c r="G177" s="9">
        <v>157</v>
      </c>
      <c r="H177" s="10">
        <v>21.9</v>
      </c>
      <c r="I177" s="9">
        <v>3429</v>
      </c>
      <c r="J177" s="11">
        <v>0.5</v>
      </c>
      <c r="K177" s="11">
        <v>0.5</v>
      </c>
      <c r="L177" s="11">
        <v>0</v>
      </c>
      <c r="M177" s="11">
        <v>0.14000000000000001</v>
      </c>
      <c r="N177" s="11">
        <v>0.14000000000000001</v>
      </c>
      <c r="O177" s="11">
        <v>0</v>
      </c>
      <c r="P177" s="10">
        <v>120.6</v>
      </c>
      <c r="Q177" s="10">
        <v>110.1</v>
      </c>
    </row>
    <row r="178" spans="1:17" ht="18" x14ac:dyDescent="0.2">
      <c r="A178" s="20" t="s">
        <v>201</v>
      </c>
      <c r="B178" s="32">
        <v>7774</v>
      </c>
      <c r="C178" s="23">
        <v>1</v>
      </c>
      <c r="D178" t="s">
        <v>213</v>
      </c>
      <c r="E178" s="2" t="s">
        <v>29</v>
      </c>
      <c r="F178" s="9">
        <v>3</v>
      </c>
      <c r="G178" s="9">
        <v>3000</v>
      </c>
      <c r="H178" s="10">
        <v>0</v>
      </c>
      <c r="I178" s="9">
        <v>0</v>
      </c>
      <c r="J178" s="11">
        <v>0</v>
      </c>
      <c r="K178" s="11">
        <v>0</v>
      </c>
      <c r="L178" s="11">
        <v>0</v>
      </c>
      <c r="M178" s="11">
        <v>0.05</v>
      </c>
      <c r="N178" s="11">
        <v>0</v>
      </c>
      <c r="O178" s="11">
        <v>0.05</v>
      </c>
      <c r="P178" s="10"/>
      <c r="Q178" s="10">
        <v>100.7</v>
      </c>
    </row>
    <row r="179" spans="1:17" ht="18" x14ac:dyDescent="0.2">
      <c r="A179" s="20" t="s">
        <v>203</v>
      </c>
      <c r="B179" s="32">
        <f>6802+833</f>
        <v>7635</v>
      </c>
      <c r="C179" s="23">
        <v>4</v>
      </c>
      <c r="D179" t="s">
        <v>213</v>
      </c>
      <c r="E179" s="2" t="s">
        <v>190</v>
      </c>
      <c r="F179" s="9">
        <v>4</v>
      </c>
      <c r="G179" s="9">
        <v>45</v>
      </c>
      <c r="H179" s="10">
        <v>9</v>
      </c>
      <c r="I179" s="9">
        <v>400000</v>
      </c>
      <c r="J179" s="11">
        <v>0</v>
      </c>
      <c r="K179" s="11">
        <v>0.1</v>
      </c>
      <c r="L179" s="11">
        <v>0</v>
      </c>
      <c r="M179" s="11">
        <v>0.01</v>
      </c>
      <c r="N179" s="11">
        <v>0.05</v>
      </c>
      <c r="O179" s="11">
        <v>-0.04</v>
      </c>
      <c r="P179" s="10">
        <v>102.3</v>
      </c>
      <c r="Q179" s="10">
        <v>118.2</v>
      </c>
    </row>
    <row r="180" spans="1:17" ht="18" x14ac:dyDescent="0.2">
      <c r="A180" s="20" t="s">
        <v>204</v>
      </c>
      <c r="B180" s="32">
        <v>5136</v>
      </c>
      <c r="C180" s="23">
        <v>1</v>
      </c>
      <c r="D180" t="s">
        <v>213</v>
      </c>
      <c r="E180" s="2" t="s">
        <v>29</v>
      </c>
      <c r="F180" s="9">
        <v>3</v>
      </c>
      <c r="G180" s="9">
        <v>22</v>
      </c>
      <c r="H180" s="10">
        <v>-9.1</v>
      </c>
      <c r="I180" s="9">
        <v>-198</v>
      </c>
      <c r="J180" s="11">
        <v>-0.1</v>
      </c>
      <c r="K180" s="11">
        <v>-0.1</v>
      </c>
      <c r="L180" s="11">
        <v>0</v>
      </c>
      <c r="M180" s="11">
        <v>-0.22</v>
      </c>
      <c r="N180" s="11">
        <v>-0.14000000000000001</v>
      </c>
      <c r="O180" s="11">
        <v>-0.08</v>
      </c>
      <c r="P180" s="10">
        <v>0</v>
      </c>
      <c r="Q180" s="10">
        <v>125.5</v>
      </c>
    </row>
    <row r="181" spans="1:17" ht="18" x14ac:dyDescent="0.2">
      <c r="A181" s="20" t="s">
        <v>207</v>
      </c>
      <c r="B181" s="32">
        <f>2915+1250</f>
        <v>4165</v>
      </c>
      <c r="C181" s="23">
        <v>2</v>
      </c>
      <c r="D181" t="s">
        <v>213</v>
      </c>
      <c r="E181" s="2" t="s">
        <v>190</v>
      </c>
      <c r="F181" s="9">
        <v>2</v>
      </c>
      <c r="G181" s="9">
        <v>6000</v>
      </c>
      <c r="H181" s="10">
        <v>-0.9</v>
      </c>
      <c r="I181" s="9">
        <v>-5</v>
      </c>
      <c r="J181" s="11">
        <v>0</v>
      </c>
      <c r="K181" s="11">
        <v>0</v>
      </c>
      <c r="L181" s="11">
        <v>0</v>
      </c>
      <c r="M181" s="11">
        <v>0.01</v>
      </c>
      <c r="N181" s="11">
        <v>0</v>
      </c>
      <c r="O181" s="11">
        <v>0.01</v>
      </c>
      <c r="P181" s="10"/>
      <c r="Q181" s="10">
        <v>107.5</v>
      </c>
    </row>
    <row r="182" spans="1:17" ht="18" x14ac:dyDescent="0.2">
      <c r="A182" s="20" t="s">
        <v>205</v>
      </c>
      <c r="B182" s="32">
        <v>3975</v>
      </c>
      <c r="C182" s="23">
        <v>1</v>
      </c>
      <c r="D182" t="s">
        <v>213</v>
      </c>
      <c r="E182" s="2" t="s">
        <v>29</v>
      </c>
      <c r="F182" s="9">
        <v>1</v>
      </c>
      <c r="G182" s="9">
        <v>22</v>
      </c>
      <c r="H182" s="10">
        <v>-1.4</v>
      </c>
      <c r="I182" s="9">
        <v>-30</v>
      </c>
      <c r="J182" s="11">
        <v>0</v>
      </c>
      <c r="K182" s="11">
        <v>-0.1</v>
      </c>
      <c r="L182" s="11">
        <v>0.1</v>
      </c>
      <c r="M182" s="11">
        <v>0</v>
      </c>
      <c r="N182" s="11">
        <v>-0.17</v>
      </c>
      <c r="O182" s="11">
        <v>0.17</v>
      </c>
      <c r="P182" s="10">
        <v>40.5</v>
      </c>
      <c r="Q182" s="10">
        <v>76.099999999999994</v>
      </c>
    </row>
    <row r="183" spans="1:17" ht="18" x14ac:dyDescent="0.2">
      <c r="A183" s="20" t="s">
        <v>206</v>
      </c>
      <c r="B183" s="32">
        <v>3887</v>
      </c>
      <c r="C183" s="23">
        <v>1</v>
      </c>
      <c r="D183" t="s">
        <v>213</v>
      </c>
      <c r="E183" s="2" t="s">
        <v>190</v>
      </c>
      <c r="F183" s="9">
        <v>1</v>
      </c>
      <c r="G183" s="9">
        <v>0</v>
      </c>
      <c r="H183" s="10">
        <v>0</v>
      </c>
      <c r="I183" s="9">
        <v>0</v>
      </c>
      <c r="J183" s="11">
        <v>0</v>
      </c>
      <c r="K183" s="11">
        <v>0</v>
      </c>
      <c r="L183" s="11">
        <v>0</v>
      </c>
      <c r="M183" s="11">
        <v>-0.02</v>
      </c>
      <c r="N183" s="11">
        <v>0</v>
      </c>
      <c r="O183" s="11">
        <v>-0.02</v>
      </c>
      <c r="P183" s="10"/>
      <c r="Q183" s="10">
        <v>113.5</v>
      </c>
    </row>
    <row r="184" spans="1:17" x14ac:dyDescent="0.2">
      <c r="A184" s="26" t="s">
        <v>216</v>
      </c>
      <c r="B184" s="27">
        <f>AVERAGE(B2:B183)</f>
        <v>101735.86813186813</v>
      </c>
      <c r="C184" s="27">
        <f>ROUND(AVERAGE(C2:C183),2)</f>
        <v>5.91</v>
      </c>
      <c r="D184" s="27"/>
      <c r="E184" s="27"/>
      <c r="F184" s="28">
        <f>ROUND(AVERAGE(F2:F183),2)</f>
        <v>29.71</v>
      </c>
      <c r="G184" s="28">
        <f>ROUND(AVERAGE(G2:G183),2)</f>
        <v>679.64</v>
      </c>
      <c r="H184" s="28">
        <f ca="1">ROUND(AVERAGE(H3:H185),2)</f>
        <v>12.24</v>
      </c>
      <c r="I184" s="28">
        <f t="shared" ref="I184:Q184" si="0">ROUND(AVERAGE(I2:I183),2)</f>
        <v>51361.9</v>
      </c>
      <c r="J184" s="28">
        <f t="shared" si="0"/>
        <v>1.61</v>
      </c>
      <c r="K184" s="28">
        <f t="shared" si="0"/>
        <v>1.02</v>
      </c>
      <c r="L184" s="28">
        <f t="shared" si="0"/>
        <v>0.6</v>
      </c>
      <c r="M184" s="28">
        <f t="shared" si="0"/>
        <v>7.0000000000000007E-2</v>
      </c>
      <c r="N184" s="28">
        <f t="shared" si="0"/>
        <v>0.04</v>
      </c>
      <c r="O184" s="28">
        <f t="shared" si="0"/>
        <v>0.04</v>
      </c>
      <c r="P184" s="28">
        <f t="shared" si="0"/>
        <v>99.53</v>
      </c>
      <c r="Q184" s="28">
        <f t="shared" si="0"/>
        <v>102.93</v>
      </c>
    </row>
    <row r="185" spans="1:17" x14ac:dyDescent="0.2">
      <c r="A185" s="25" t="s">
        <v>217</v>
      </c>
      <c r="B185" s="27">
        <f>MEDIAN(B2:B183)</f>
        <v>80336</v>
      </c>
      <c r="H185" s="28">
        <f>MEDIAN(H2:H183)</f>
        <v>13</v>
      </c>
    </row>
  </sheetData>
  <sortState xmlns:xlrd2="http://schemas.microsoft.com/office/spreadsheetml/2017/richdata2" ref="A2:Q183">
    <sortCondition descending="1" ref="B1:B183"/>
  </sortState>
  <hyperlinks>
    <hyperlink ref="A181" r:id="rId1" display="https://herhoopstats.com/stats/wnba/player/ajae-petty-stats-11f02f7d-4427-283c-be47-12df17ae4e1e/" xr:uid="{AC6B52D7-7D1C-BD4E-8D91-E2962B3F25B8}"/>
    <hyperlink ref="A183" r:id="rId2" display="https://herhoopstats.com/stats/wnba/player/kyra-lambert-stats-11f07932-3df5-f5c0-8820-12df17ae4e1e/" xr:uid="{901B58F1-73D9-0C4C-8574-50DE5292B2C5}"/>
    <hyperlink ref="A182" r:id="rId3" display="https://herhoopstats.com/stats/wnba/player/alexis-prince-stats-11eaecea-d25c-b480-934f-8b50fcb63fde/" xr:uid="{99152C09-6FC4-554C-A65D-9C0919C6DB57}"/>
    <hyperlink ref="A180" r:id="rId4" display="https://herhoopstats.com/stats/wnba/player/serena-sundell-stats-11f02f7c-f120-b11c-be47-12df17ae4e1e/" xr:uid="{B1223450-C709-5C43-B597-7694E2AE8239}"/>
    <hyperlink ref="A179" r:id="rId5" display="https://herhoopstats.com/stats/wnba/player/christyn-williams-stats-11eccc25-118b-199c-ba73-12df17ae4e1e/" xr:uid="{114C53CC-B485-9140-B575-A3BD664023E5}"/>
    <hyperlink ref="A177" r:id="rId6" display="https://herhoopstats.com/stats/wnba/player/amy-okonkwo-stats-11ebb4ed-e2df-a904-9185-12df17ae4e1e/" xr:uid="{C7F8220E-D384-FA48-8668-AF8E7F73F815}"/>
    <hyperlink ref="A178" r:id="rId7" display="https://herhoopstats.com/stats/wnba/player/kamiah-smalls-stats-11eaecc7-3f52-ac12-b611-2362f5011b0b/" xr:uid="{B59CE429-8F46-4642-84D8-4B256C735A44}"/>
    <hyperlink ref="A176" r:id="rId8" display="https://herhoopstats.com/stats/wnba/player/robyn-parks-stats-11edf5c8-5695-90c6-a962-024250b8c764/" xr:uid="{606759ED-355B-A744-B5FC-325614712BE7}"/>
    <hyperlink ref="A173" r:id="rId9" display="https://herhoopstats.com/stats/wnba/player/madison-scott-stats-11f02f7d-44ac-14fc-be47-12df17ae4e1e/" xr:uid="{8621EB40-90B5-E54C-832D-61F78BAE84A6}"/>
    <hyperlink ref="A170" r:id="rId10" display="https://herhoopstats.com/stats/wnba/player/camryn-taylor-stats-11ef10cc-bdd9-895c-b390-a0c589f521ca/" xr:uid="{31E76A86-8372-B141-A007-842EFED8FE28}"/>
    <hyperlink ref="A167" r:id="rId11" display="https://herhoopstats.com/stats/wnba/player/aerial-powers-stats-11eaecc7-404e-cc36-b611-2362f5011b0b/" xr:uid="{08D00213-66F3-4B40-A16B-1D40BA422EE8}"/>
    <hyperlink ref="A175" r:id="rId12" display="https://herhoopstats.com/stats/wnba/player/mari%C3%A8me-badiane-stats-11f02f7c-f7b3-f732-be47-12df17ae4e1e/" xr:uid="{C03CD0AA-3405-BD46-AC52-4C2E551EDD28}"/>
    <hyperlink ref="A158" r:id="rId13" display="https://herhoopstats.com/stats/wnba/player/kiana-williams-stats-11ebb4ec-f541-2736-9a0e-12df17ae4e1e/" xr:uid="{506EAD90-E10B-1B4A-8546-A79D21492F0E}"/>
    <hyperlink ref="A169" r:id="rId14" display="https://herhoopstats.com/stats/wnba/player/bree-hall-stats-11f02f7d-1d09-c69c-be47-12df17ae4e1e/" xr:uid="{5B608159-E65C-F441-969C-97DBA49741FC}"/>
    <hyperlink ref="A166" r:id="rId15" display="https://herhoopstats.com/stats/wnba/player/shey-peddy-stats-11eaecc7-494a-ffbc-b611-2362f5011b0b/" xr:uid="{241770A0-07D9-9A48-AF16-85785CAA1D52}"/>
    <hyperlink ref="A174" r:id="rId16" display="https://herhoopstats.com/stats/wnba/player/kyara-linskens-stats-11f02f7c-ffb9-e3ba-be47-12df17ae4e1e/" xr:uid="{EDF36F8E-759C-814A-A6C0-607E4E6614C0}"/>
    <hyperlink ref="A172" r:id="rId17" display="https://herhoopstats.com/stats/wnba/player/crystal-bradford-stats-11eaecc7-5db3-2042-b611-2362f5011b0b/" xr:uid="{98ABE2DA-A56F-3843-8CFE-692AB30F6E03}"/>
    <hyperlink ref="A168" r:id="rId18" display="https://herhoopstats.com/stats/wnba/player/liatu-king-stats-11f02f7d-2d73-639e-be47-12df17ae4e1e/" xr:uid="{A09D975D-8DC6-5D48-91BF-9F596D4283A9}"/>
    <hyperlink ref="A163" r:id="rId19" display="https://herhoopstats.com/stats/wnba/player/grace-berger-stats-11edf6b6-b027-5a2c-bd52-024276bea302/" xr:uid="{99381DE4-B825-A64D-9CFB-C1C12352F271}"/>
    <hyperlink ref="A171" r:id="rId20" display="https://herhoopstats.com/stats/wnba/player/joyner-holmes-stats-11eaecc7-4295-57a8-b611-2362f5011b0b/" xr:uid="{A1BAF6FC-7315-8443-852B-4ABDB951BF74}"/>
    <hyperlink ref="A164" r:id="rId21" display="https://herhoopstats.com/stats/wnba/player/mamignan-tour%C3%A9-stats-11f02f7d-01a9-5516-be47-12df17ae4e1e/" xr:uid="{DCA77C68-2359-B04E-9867-06F24F0C63B6}"/>
    <hyperlink ref="A147" r:id="rId22" display="https://herhoopstats.com/stats/wnba/player/kaila-charles-stats-11eaecc7-3dfd-1fdc-b611-2362f5011b0b/" xr:uid="{E3EEC7A4-A948-744F-9FFF-257ED514A729}"/>
    <hyperlink ref="A156" r:id="rId23" display="https://herhoopstats.com/stats/wnba/player/chloe-bibby-stats-11eccc25-0650-0d58-ba73-12df17ae4e1e/" xr:uid="{036848B1-EA6E-284A-BC85-0E5B71DCED07}"/>
    <hyperlink ref="A155" r:id="rId24" display="https://herhoopstats.com/stats/wnba/player/haley-peters-stats-11eaecc7-5587-a8ac-b611-2362f5011b0b/" xr:uid="{AC1D4968-CE71-0B49-905B-B4257748EDA9}"/>
    <hyperlink ref="A157" r:id="rId25" display="https://herhoopstats.com/stats/wnba/player/sevgi-uzun-stats-11ef10cc-9e7f-3750-b390-a0c589f521ca/" xr:uid="{0EA78F97-A77C-D441-9C57-85A7917A35C3}"/>
    <hyperlink ref="A165" r:id="rId26" display="https://herhoopstats.com/stats/wnba/player/kariata-diaby-stats-11f02f7c-e20c-8f16-be47-12df17ae4e1e/" xr:uid="{E1010AEF-6B55-8540-B3BB-06484148F641}"/>
    <hyperlink ref="A160" r:id="rId27" display="https://herhoopstats.com/stats/wnba/player/elizabeth-kitley-stats-11f02f7c-f23d-6f0e-be47-12df17ae4e1e/" xr:uid="{9044E9D5-D632-E946-8D50-15BE5424D2C2}"/>
    <hyperlink ref="A162" r:id="rId28" display="https://herhoopstats.com/stats/wnba/player/murjanatu-musa-stats-11f02f7c-fba8-53ce-be47-12df17ae4e1e/" xr:uid="{F2FFF38B-971F-E648-96C3-95D42ADF7AEE}"/>
    <hyperlink ref="A161" r:id="rId29" display="https://herhoopstats.com/stats/wnba/player/megan-mcconnell-stats-11f02f7c-fbda-57fc-be47-12df17ae4e1e/" xr:uid="{A8374E82-F08C-C34B-B4EC-C15A8003CFFC}"/>
    <hyperlink ref="A159" r:id="rId30" display="https://herhoopstats.com/stats/wnba/player/iliana-rupert-stats-11ebb4ed-e4e2-cbb4-9185-12df17ae4e1e/" xr:uid="{AADF69CD-19D3-DE4D-BFF4-2C17E8057C49}"/>
    <hyperlink ref="A152" r:id="rId31" display="https://herhoopstats.com/stats/wnba/player/haley-jones-stats-11edf6b6-e860-374c-b638-024276bea302/" xr:uid="{EC4EDB81-D509-1247-9BC3-A03A83F7F048}"/>
    <hyperlink ref="A154" r:id="rId32" display="https://herhoopstats.com/stats/wnba/player/marquesha-davis-stats-11ef10cc-5bb7-1a28-b390-a0c589f521ca/" xr:uid="{629E7751-9D7A-1F47-B4A4-0015BE3EEB1C}"/>
    <hyperlink ref="A145" r:id="rId33" display="https://herhoopstats.com/stats/wnba/player/alissa-pili-stats-11ef10cc-7ef5-9d5c-b390-a0c589f521ca/" xr:uid="{9AB7EAE6-A253-BC40-9D99-4904B76555FD}"/>
    <hyperlink ref="A87" r:id="rId34" display="https://herhoopstats.com/stats/wnba/player/tiffany-mitchell-stats-11eaecc7-3e8b-a5c2-b611-2362f5011b0b/" xr:uid="{C45F4F07-DAD4-C54C-9100-62C7272A6C6F}"/>
    <hyperlink ref="A153" r:id="rId35" display="https://herhoopstats.com/stats/wnba/player/jaelyn-brown-stats-11ef10cc-9bb6-cb32-b390-a0c589f521ca/" xr:uid="{B5945A6A-0F73-7841-A5DE-FFB386DC6A33}"/>
    <hyperlink ref="A151" r:id="rId36" display="https://herhoopstats.com/stats/wnba/player/mackenzie-holmes-stats-11edf6b9-16cb-e6f6-94f3-024276bea302/" xr:uid="{26818AC7-CB85-A940-A4AF-15469C3273DA}"/>
    <hyperlink ref="A150" r:id="rId37" display="https://herhoopstats.com/stats/wnba/player/kaitlyn-chen-stats-11f02f7c-fffc-c0ae-be47-12df17ae4e1e/" xr:uid="{D89C9AB6-1DCE-A846-83F8-17FB0BB3C64D}"/>
    <hyperlink ref="A146" r:id="rId38" display="https://herhoopstats.com/stats/wnba/player/aari-mcdonald-stats-11ebb4ec-f33d-5a86-9a0e-12df17ae4e1e/" xr:uid="{3F48CBA8-789C-D443-A927-56F1F0C7402E}"/>
    <hyperlink ref="A149" r:id="rId39" display="https://herhoopstats.com/stats/wnba/player/laeticia-amihere-stats-11edf6b6-e9da-ce5c-b638-024276bea302/" xr:uid="{C777F4CA-7836-9340-9738-0A5A3972E3B0}"/>
    <hyperlink ref="A148" r:id="rId40" display="https://herhoopstats.com/stats/wnba/player/maria-kliundikova-stats-11eaeccf-b905-7118-abdf-1f3cc36cb6a8/" xr:uid="{1ADA2ED8-AF59-E24A-8C33-6DD51E88C437}"/>
    <hyperlink ref="A110" r:id="rId41" display="https://herhoopstats.com/stats/wnba/player/odyssey-sims-stats-11eaecc7-47f4-5ece-b611-2362f5011b0b/" xr:uid="{4D03C173-41C6-E849-8276-64F37475827B}"/>
    <hyperlink ref="A138" r:id="rId42" display="https://herhoopstats.com/stats/wnba/player/li-yueru-stats-11eaecc7-58ac-1f54-b611-2362f5011b0b/" xr:uid="{E4483AC7-ECE5-5A4C-A596-ADBA782AC82B}"/>
    <hyperlink ref="A141" r:id="rId43" display="https://herhoopstats.com/stats/wnba/player/maya-caldwell-stats-11ebb4ed-eaa5-71aa-9185-12df17ae4e1e/" xr:uid="{1D4AABE1-09DD-E145-83E3-4A55739F2586}"/>
    <hyperlink ref="A143" r:id="rId44" display="https://herhoopstats.com/stats/wnba/player/rebekah-gardner-stats-11eaecc7-58e4-2e8a-b611-2362f5011b0b/" xr:uid="{9D76B1B2-85BB-B14E-A639-EF1B30BD62AE}"/>
    <hyperlink ref="A82" r:id="rId45" display="https://herhoopstats.com/stats/wnba/player/jaylyn-sherrod-stats-11ef10cc-5d9a-e86a-b390-a0c589f521ca/" xr:uid="{38E2C048-C34C-E641-A9BB-7CD356B1E378}"/>
    <hyperlink ref="A134" r:id="rId46" display="https://herhoopstats.com/stats/wnba/player/jj-quinerly-stats-11f02f7c-fe1e-2318-be47-12df17ae4e1e/" xr:uid="{F5C8F2E5-29BA-0148-94B3-EF1791E07FA1}"/>
    <hyperlink ref="A144" r:id="rId47" display="https://herhoopstats.com/stats/wnba/player/taylor-thierry-stats-11f02f7c-e95a-f73a-be47-12df17ae4e1e/" xr:uid="{17658367-6543-EC44-A019-25230FC8D13E}"/>
    <hyperlink ref="A135" r:id="rId48" display="https://herhoopstats.com/stats/wnba/player/julie-vanloo-stats-11ef10cc-406a-16f8-b390-a0c589f521ca/" xr:uid="{33F4C932-2948-C742-8764-46F8C77DE966}"/>
    <hyperlink ref="A142" r:id="rId49" display="https://herhoopstats.com/stats/wnba/player/monique-akoa-makani-stats-11f02f7c-faac-246e-be47-12df17ae4e1e/" xr:uid="{19C2B8DB-9C8E-8342-8125-38E520C7BA39}"/>
    <hyperlink ref="A133" r:id="rId50" display="https://herhoopstats.com/stats/wnba/player/janelle-salaun-stats-11f02f7d-01ec-45e2-be47-12df17ae4e1e/" xr:uid="{F0FE33DE-5DB6-7C4F-9876-7B6ADBC4EA5A}"/>
    <hyperlink ref="A136" r:id="rId51" display="https://herhoopstats.com/stats/wnba/player/kathryn-westbeld-stats-11eaecc7-56aa-cdd6-b611-2362f5011b0b/" xr:uid="{6EB51ECA-6E5E-0343-B9E9-03B3DEF34FCE}"/>
    <hyperlink ref="A140" r:id="rId52" display="https://herhoopstats.com/stats/wnba/player/marine-johannes-stats-11eaecd2-ab0f-a4fe-90cd-31ee0f3687c8/" xr:uid="{0A7C121C-1775-464F-9D3E-F05DB047FC91}"/>
    <hyperlink ref="A139" r:id="rId53" display="https://herhoopstats.com/stats/wnba/player/luisa-geiselsoder-stats-11ebb4ed-e38e-c0a6-9185-12df17ae4e1e/" xr:uid="{70EC3A53-FB05-8746-8380-A27C32BD8405}"/>
    <hyperlink ref="A137" r:id="rId54" display="https://herhoopstats.com/stats/wnba/player/lexi-held-stats-11eccc25-0b10-079e-ba73-12df17ae4e1e/" xr:uid="{B4A2FC8A-49C1-F343-848C-FE7C89410ED6}"/>
    <hyperlink ref="A95" r:id="rId55" display="https://herhoopstats.com/stats/wnba/player/zia-cooke-stats-11edf6b7-148b-5b94-b638-024276bea302/" xr:uid="{F5C248D1-382A-6A47-BC6A-5A1D11D341C9}"/>
    <hyperlink ref="A132" r:id="rId56" display="https://herhoopstats.com/stats/wnba/player/jade-melbourne-stats-11eccc24-e5b5-6dfe-ba73-12df17ae4e1e/" xr:uid="{F81D1B20-58D6-E544-9CD3-DF4A4B71D5C0}"/>
    <hyperlink ref="A88" r:id="rId57" display="https://herhoopstats.com/stats/wnba/player/sika-kone-stats-11eccc24-e412-3400-ba73-12df17ae4e1e/" xr:uid="{D056F5C1-5CA2-104C-BF11-3665397BC231}"/>
    <hyperlink ref="A131" r:id="rId58" display="https://herhoopstats.com/stats/wnba/player/leonie-fiebich-stats-11ebb4ed-eb83-26a8-9185-12df17ae4e1e/" xr:uid="{E583C3A3-1792-3140-BBE0-E9CB294C90C4}"/>
    <hyperlink ref="A130" r:id="rId59" display="https://herhoopstats.com/stats/wnba/player/kate-martin-stats-11ef127a-7161-ffc8-90e5-12df17ae4e1e/" xr:uid="{358FEA1E-FB7F-8247-BC54-7B546EB18AE5}"/>
    <hyperlink ref="A129" r:id="rId60" display="https://herhoopstats.com/stats/wnba/player/te-hina-paopao-stats-11f02f7c-ead8-9806-be47-12df17ae4e1e/" xr:uid="{D58A6FC8-DB53-8341-A651-DAA6E7119DB5}"/>
    <hyperlink ref="A126" r:id="rId61" display="https://herhoopstats.com/stats/wnba/player/makayla-timpson-stats-11f02f7c-e518-6590-be47-12df17ae4e1e/" xr:uid="{6FB38B51-FBED-904A-B780-29A18F90582C}"/>
    <hyperlink ref="A124" r:id="rId62" display="https://herhoopstats.com/stats/wnba/player/lucy-olsen-stats-11f02f7c-e707-d91c-be47-12df17ae4e1e/" xr:uid="{FE0765E1-1526-6C43-82CB-A2390B24CB2C}"/>
    <hyperlink ref="A125" r:id="rId63" display="https://herhoopstats.com/stats/wnba/player/maddy-westbeld-stats-11f02f7c-ddfa-609c-be47-12df17ae4e1e/" xr:uid="{B12CD60B-197F-BE44-B95A-23EDB54B9F8B}"/>
    <hyperlink ref="A122" r:id="rId64" display="https://herhoopstats.com/stats/wnba/player/aaliyah-nye-stats-11f02f7c-f1f8-1710-be47-12df17ae4e1e/" xr:uid="{1182A33F-C8AC-BB4D-83E6-86D348E7C1F6}"/>
    <hyperlink ref="A123" r:id="rId65" display="https://herhoopstats.com/stats/wnba/player/anastasiia-olairi-kosu-stats-11f02f7c-f85f-aece-be47-12df17ae4e1e/" xr:uid="{E2CB3CCB-9BAC-B945-A77B-CA2B573570DF}"/>
    <hyperlink ref="A127" r:id="rId66" display="https://herhoopstats.com/stats/wnba/player/rayah-marshall-stats-11f02f7c-e2c0-87fa-be47-12df17ae4e1e/" xr:uid="{382D2069-13FF-4841-8865-154512A0EB8D}"/>
    <hyperlink ref="A128" r:id="rId67" display="https://herhoopstats.com/stats/wnba/player/sania-feagin-stats-11f02f7c-f432-2052-be47-12df17ae4e1e/" xr:uid="{02479508-E11A-1245-BF8D-FAE279F6FDF3}"/>
    <hyperlink ref="A49" r:id="rId68" display="https://herhoopstats.com/stats/wnba/player/dewanna-bonner-stats-11eaecc7-3e11-0a92-b611-2362f5011b0b/" xr:uid="{AAC920BD-A843-D445-B90E-989EF83AD81F}"/>
    <hyperlink ref="A120" r:id="rId69" display="https://herhoopstats.com/stats/wnba/player/leila-lacan-stats-11ef10cc-29f7-341e-b390-a0c589f521ca/" xr:uid="{E38727B1-F48C-D249-99FA-9794CCD14EB3}"/>
    <hyperlink ref="A118" r:id="rId70" display="https://herhoopstats.com/stats/wnba/player/carla-leite-stats-11ef10cc-9a1c-0008-b390-a0c589f521ca/" xr:uid="{B61A7B67-681C-0E47-BEFD-ABB307083A40}"/>
    <hyperlink ref="A117" r:id="rId71" display="https://herhoopstats.com/stats/wnba/player/aziaha-james-stats-11f02f7c-fcb1-011c-be47-12df17ae4e1e/" xr:uid="{BD4A9938-FDDB-DE48-A718-D82D48B65A58}"/>
    <hyperlink ref="A121" r:id="rId72" display="https://herhoopstats.com/stats/wnba/player/sarah-ashlee-barker-stats-11f02f7c-f64e-13dc-be47-12df17ae4e1e/" xr:uid="{2FFBC167-A411-B744-850B-7E4645B343B7}"/>
    <hyperlink ref="A119" r:id="rId73" display="https://herhoopstats.com/stats/wnba/player/hailey-van-lith-stats-11f02f7c-dd6b-9970-be47-12df17ae4e1e/" xr:uid="{65943D06-9F85-6149-9906-C8AB45C40E89}"/>
    <hyperlink ref="A115" r:id="rId74" display="https://herhoopstats.com/stats/wnba/player/angel-reese-stats-11ef10cc-1f4d-0232-b390-a0c589f521ca/" xr:uid="{F924C4CE-953D-FB4E-80A3-F295B9CAE744}"/>
    <hyperlink ref="A116" r:id="rId75" display="https://herhoopstats.com/stats/wnba/player/jacy-sheldon-stats-11edf6b8-c31e-094e-94f3-024276bea302/" xr:uid="{C0772655-C92B-984A-9CCC-B3ACA6312DDD}"/>
    <hyperlink ref="A114" r:id="rId76" display="https://herhoopstats.com/stats/wnba/player/aaliyah-edwards-stats-11ef10cc-41e1-7ee0-b390-a0c589f521ca/" xr:uid="{CC91F19A-FAFD-3D49-A59D-19BB5E6BF1FE}"/>
    <hyperlink ref="A113" r:id="rId77" display="https://herhoopstats.com/stats/wnba/player/saniya-rivers-stats-11f02f7c-dfcf-7682-be47-12df17ae4e1e/" xr:uid="{77186059-0290-D74C-A8A6-EF4CD01DBCA4}"/>
    <hyperlink ref="A112" r:id="rId78" display="https://herhoopstats.com/stats/wnba/player/aneesah-morrow-stats-11f02f7c-e0c1-917e-be47-12df17ae4e1e/" xr:uid="{16FAF661-1A73-134A-BFE7-E4A705A2B195}"/>
    <hyperlink ref="A111" r:id="rId79" display="https://herhoopstats.com/stats/wnba/player/emma-meesseman-stats-11eaecc7-4013-10ce-b611-2362f5011b0b/" xr:uid="{093BB1BE-9DD5-6D47-B5E0-C61FFD2DFD2E}"/>
    <hyperlink ref="A106" r:id="rId80" display="https://herhoopstats.com/stats/wnba/player/caitlin-clark-stats-11ef10cc-36c4-18e2-b390-a0c589f521ca/" xr:uid="{A23B233D-EB7A-5A4C-A14E-E43076C78811}"/>
    <hyperlink ref="A108" r:id="rId81" display="https://herhoopstats.com/stats/wnba/player/kamilla-cardoso-stats-11ef10cc-22e6-5d4e-b390-a0c589f521ca/" xr:uid="{E4531552-2F00-4C4F-9794-C645736D8C6D}"/>
    <hyperlink ref="A109" r:id="rId82" display="https://herhoopstats.com/stats/wnba/player/rickea-jackson-stats-11edf6b9-7f4f-064a-94f3-024276bea302/" xr:uid="{52994DA0-E773-AF4D-98ED-A00C2DF44B29}"/>
    <hyperlink ref="A107" r:id="rId83" display="https://herhoopstats.com/stats/wnba/player/cameron-brink-stats-11ef10cc-784e-bd94-b390-a0c589f521ca/" xr:uid="{866C8854-640E-3B49-9738-93271A7F13BD}"/>
    <hyperlink ref="A104" r:id="rId84" display="https://herhoopstats.com/stats/wnba/player/paige-bueckers-stats-11f02f7c-fd3d-c2fa-be47-12df17ae4e1e/" xr:uid="{4926A5F4-EE54-344B-93C9-6C1059BF99C3}"/>
    <hyperlink ref="A105" r:id="rId85" display="https://herhoopstats.com/stats/wnba/player/sonia-citron-stats-11f02f7c-e6c3-79b6-be47-12df17ae4e1e/" xr:uid="{881701BD-0911-414D-958C-5F2C10A1B1EF}"/>
    <hyperlink ref="A103" r:id="rId86" display="https://herhoopstats.com/stats/wnba/player/kiki-iriafen-stats-11f02f7c-e67f-3508-be47-12df17ae4e1e/" xr:uid="{E68C8752-B074-AF40-A293-1D32C963D80F}"/>
    <hyperlink ref="A98" r:id="rId87" display="https://herhoopstats.com/stats/wnba/player/dominique-malonga-stats-11f02f7c-f051-55c0-be47-12df17ae4e1e/" xr:uid="{0A805ACF-8EF8-E14F-A873-83E48D13232A}"/>
    <hyperlink ref="A101" r:id="rId88" display="https://herhoopstats.com/stats/wnba/player/jessica-shepard-stats-11eaeccf-b7c3-8d44-abdf-1f3cc36cb6a8/" xr:uid="{F793A493-9C83-B147-A294-FCAF99A7D16F}"/>
    <hyperlink ref="A99" r:id="rId89" display="https://herhoopstats.com/stats/wnba/player/erica-wheeler-stats-11eaecc7-3eb3-dfc4-b611-2362f5011b0b/" xr:uid="{911FE492-8FC0-CA45-9CB2-467E67FBE104}"/>
    <hyperlink ref="A102" r:id="rId90" display="https://herhoopstats.com/stats/wnba/player/kennedy-burke-stats-11eaecc7-3e77-0608-b611-2362f5011b0b/" xr:uid="{B51B99D2-2D2C-9B47-A660-477C4A91E6C8}"/>
    <hyperlink ref="A100" r:id="rId91" display="https://herhoopstats.com/stats/wnba/player/isabelle-harrison-stats-11eaecc7-49ff-d5ae-b611-2362f5011b0b/" xr:uid="{F6F46779-15FB-2647-B14F-783E7313E286}"/>
    <hyperlink ref="A96" r:id="rId92" display="https://herhoopstats.com/stats/wnba/player/bria-hartley-stats-11eaecc7-48e4-f4ba-b611-2362f5011b0b/" xr:uid="{5B419FE5-B66F-FB45-B9D1-C499B00D7939}"/>
    <hyperlink ref="A97" r:id="rId93" display="https://herhoopstats.com/stats/wnba/player/cheyenne-parker-tyus-stats-11eaecc7-3c5d-262c-b611-2362f5011b0b/" xr:uid="{CD8D28B7-2B36-0240-8EE6-C2EA28999ABC}"/>
    <hyperlink ref="A94" r:id="rId94" display="https://herhoopstats.com/stats/wnba/player/nyara-sabally-stats-11eccc24-e3fa-ac7c-ba73-12df17ae4e1e/" xr:uid="{67A77ECA-453E-994F-A78A-80EEB7D39D7D}"/>
    <hyperlink ref="A93" r:id="rId95" display="https://herhoopstats.com/stats/wnba/player/kitija-laksa-stats-11ebb4ed-e647-d968-9185-12df17ae4e1e/" xr:uid="{6C521688-940A-A94D-AB1A-363CDCD5D6BC}"/>
    <hyperlink ref="A92" r:id="rId96" display="https://herhoopstats.com/stats/wnba/player/mercedes-russell-stats-11eaecc7-43a5-dab4-b611-2362f5011b0b/" xr:uid="{917FE3D3-245F-DB46-BFD3-65062E72EB43}"/>
    <hyperlink ref="A90" r:id="rId97" display="https://herhoopstats.com/stats/wnba/player/naz-hillmon-stats-11eccc24-e355-9750-ba73-12df17ae4e1e/" xr:uid="{246BEF15-F91C-3E47-8DD7-03A1972C16F8}"/>
    <hyperlink ref="A91" r:id="rId98" display="https://herhoopstats.com/stats/wnba/player/olivia-nelson-ododa-stats-11eccc24-e97a-d49c-ba73-12df17ae4e1e/" xr:uid="{5403EAFD-EDA1-A54A-9E75-492AE873E874}"/>
    <hyperlink ref="A89" r:id="rId99" display="https://herhoopstats.com/stats/wnba/player/emily-engstler-stats-11eccc24-e012-94c6-ba73-12df17ae4e1e/" xr:uid="{FB93DD65-697C-A14C-8DE5-743857BAE4A2}"/>
    <hyperlink ref="A85" r:id="rId100" display="https://herhoopstats.com/stats/wnba/player/diamond-miller-stats-11edf6b7-24a6-b29e-b638-024276bea302/" xr:uid="{7D1CA016-FF90-F44C-9332-DDF9608907F4}"/>
    <hyperlink ref="A84" r:id="rId101" display="https://herhoopstats.com/stats/wnba/player/aliyah-boston-stats-11edf6b6-b45b-5788-bd52-024276bea302/" xr:uid="{722E8469-5E1E-3D47-8117-662B84983D16}"/>
    <hyperlink ref="A86" r:id="rId102" display="https://herhoopstats.com/stats/wnba/player/maddy-siegrist-stats-11edf6b8-48ca-b2aa-ae8b-024276bea302/" xr:uid="{5B237A3D-FE30-B145-94FE-FAA144A693BE}"/>
    <hyperlink ref="A83" r:id="rId103" display="https://herhoopstats.com/stats/wnba/player/kierstan-bell-stats-11eccc24-e714-46e8-ba73-12df17ae4e1e/" xr:uid="{1806F71E-C3E5-4042-8054-A248C59DE305}"/>
    <hyperlink ref="A81" r:id="rId104" display="https://herhoopstats.com/stats/wnba/player/julie-allemand-stats-11eaecc7-3e9f-d542-b611-2362f5011b0b/" xr:uid="{B310140A-8E17-8D46-9D67-4873AE880A4E}"/>
    <hyperlink ref="A80" r:id="rId105" display="https://herhoopstats.com/stats/wnba/player/brianna-turner-stats-11eaecc7-490d-f3ba-b611-2362f5011b0b/" xr:uid="{93998438-1B92-A24D-B6A2-78AB5C196847}"/>
    <hyperlink ref="A71" r:id="rId106" display="https://herhoopstats.com/stats/wnba/player/yvonne-anderson-stats-11eccc24-de9c-6ce8-ba73-12df17ae4e1e/" xr:uid="{94C3BF29-919E-254C-9243-612EB3F42192}"/>
    <hyperlink ref="A79" r:id="rId107" display="https://herhoopstats.com/stats/wnba/player/lexie-hull-stats-11eccc24-e0aa-8448-ba73-12df17ae4e1e/" xr:uid="{661BDB4B-4234-8941-8CE3-2A9B1D86D351}"/>
    <hyperlink ref="A78" r:id="rId108" display="https://herhoopstats.com/stats/wnba/player/dana-evans-stats-11ebb4ec-f985-e052-9a0e-12df17ae4e1e/" xr:uid="{0F97388F-E329-9D4C-AB12-9292575AD597}"/>
    <hyperlink ref="A77" r:id="rId109" display="https://herhoopstats.com/stats/wnba/player/temi-f%C3%A1gb%C3%A9nl%C3%A9-stats-11eaeccf-b7f8-167c-abdf-1f3cc36cb6a8/" xr:uid="{374F989D-A0AF-6B4D-9911-14E9EB654695}"/>
    <hyperlink ref="A76" r:id="rId110" display="https://herhoopstats.com/stats/wnba/player/sydney-colson-stats-11eaecc7-3c47-1c7e-b611-2362f5011b0b/" xr:uid="{7C2883F5-380C-DD46-9015-555054A91E27}"/>
    <hyperlink ref="A75" r:id="rId111" display="https://herhoopstats.com/stats/wnba/player/lindsay-allen-stats-11eaecc7-4524-d8d6-b611-2362f5011b0b/" xr:uid="{92964CB6-BE79-E640-97AA-E62A74C61FF3}"/>
    <hyperlink ref="A73" r:id="rId112" display="https://herhoopstats.com/stats/wnba/player/rhyne-howard-stats-11eccc24-e32a-8af6-ba73-12df17ae4e1e/" xr:uid="{00BAB9A9-6373-E24C-B951-8CD9783B6E24}"/>
    <hyperlink ref="A72" r:id="rId113" display="https://herhoopstats.com/stats/wnba/player/nalyssa-smith-stats-11eccc24-dfe7-b4e0-ba73-12df17ae4e1e/" xr:uid="{CE9214BF-04DC-E14D-A51C-812B925D8E21}"/>
    <hyperlink ref="A74" r:id="rId114" display="https://herhoopstats.com/stats/wnba/player/shakira-austin-stats-11eccc24-e1d4-db84-ba73-12df17ae4e1e/" xr:uid="{91EABC7B-CA28-964F-A1CF-6884BF5ECD96}"/>
    <hyperlink ref="A70" r:id="rId115" display="https://herhoopstats.com/stats/wnba/player/sug-sutton-stats-11eaecc7-3fc3-9d96-b611-2362f5011b0b/" xr:uid="{DBA80E12-3A7F-DC4A-A036-3C80FC55F5D1}"/>
    <hyperlink ref="A69" r:id="rId116" display="https://herhoopstats.com/stats/wnba/player/rachel-banham-stats-11eaecc7-4768-4542-b611-2362f5011b0b/" xr:uid="{21B3A9C5-C85D-5B4C-A2ED-DBE0FD2E83C6}"/>
    <hyperlink ref="A68" r:id="rId117" display="https://herhoopstats.com/stats/wnba/player/lexie-brown-stats-11eaecc7-473e-e102-b611-2362f5011b0b/" xr:uid="{66ECE523-3B60-9F4B-A276-2064E2DA55E1}"/>
    <hyperlink ref="A67" r:id="rId118" display="https://herhoopstats.com/stats/wnba/player/megan-gustafson-stats-11eaecc7-4aa4-1740-b611-2362f5011b0b/" xr:uid="{695ABF49-F73D-AA4E-871D-71F884A5E916}"/>
    <hyperlink ref="A66" r:id="rId119" display="https://herhoopstats.com/stats/wnba/player/sophie-cunningham-stats-11eaecc7-4936-aeae-b611-2362f5011b0b/" xr:uid="{57195D9C-84C7-3B4B-A037-7251E30EB2C4}"/>
    <hyperlink ref="A63" r:id="rId120" display="https://herhoopstats.com/stats/wnba/player/cecilia-zandalasini-stats-11eaecea-ccf2-b3fa-934f-8b50fcb63fde/" xr:uid="{F15534F3-177B-774F-8909-915AECCD967F}"/>
    <hyperlink ref="A64" r:id="rId121" display="https://herhoopstats.com/stats/wnba/player/damiris-dantas-stats-11eaecc7-484f-953c-b611-2362f5011b0b/" xr:uid="{D1FFEB32-97DE-FA40-91AB-7852BB7823A0}"/>
    <hyperlink ref="A65" r:id="rId122" display="https://herhoopstats.com/stats/wnba/player/elizabeth-williams-stats-11eaecc7-41b7-b3da-b611-2362f5011b0b/" xr:uid="{9261B139-8FC8-4F42-B564-1E13467C2BCC}"/>
    <hyperlink ref="A62" r:id="rId123" display="https://herhoopstats.com/stats/wnba/player/tyasha-harris-stats-11eaecc7-4ab8-418e-b611-2362f5011b0b/" xr:uid="{8715F0BB-6E1B-8744-9D07-50EBD88A18F3}"/>
    <hyperlink ref="A61" r:id="rId124" display="https://herhoopstats.com/stats/wnba/player/kiah-stokes-stats-11eaecc7-4349-4682-b611-2362f5011b0b/" xr:uid="{918802F0-3267-E840-91DB-3F545260CFC3}"/>
    <hyperlink ref="A60" r:id="rId125" display="https://herhoopstats.com/stats/wnba/player/veronica-burton-stats-11eccc24-ee6e-08f2-ba73-12df17ae4e1e/" xr:uid="{691B1B9C-3576-264D-87FF-2E10EDB5ED02}"/>
    <hyperlink ref="A59" r:id="rId126" display="https://herhoopstats.com/stats/wnba/player/monique-billings-stats-11eaecc7-4118-5344-b611-2362f5011b0b/" xr:uid="{ADBDDD0B-DC3E-744F-9469-F3BB69CDDA0A}"/>
    <hyperlink ref="A58" r:id="rId127" display="https://herhoopstats.com/stats/wnba/player/natasha-mack-stats-11ebb4ed-de81-5470-9185-12df17ae4e1e/" xr:uid="{F970763A-3C43-5D44-BB4E-694BA83DB15D}"/>
    <hyperlink ref="A57" r:id="rId128" display="https://herhoopstats.com/stats/wnba/player/emma-cannon-stats-11eaecc7-4cfd-a63c-b611-2362f5011b0b/" xr:uid="{D979C5CD-A805-E64F-8F59-772DE82E41B4}"/>
    <hyperlink ref="A56" r:id="rId129" display="https://herhoopstats.com/stats/wnba/player/karlie-samuelson-stats-11eaecd2-c023-acc8-90cd-31ee0f3687c8/" xr:uid="{0EE60F37-369B-E74A-8D4D-BA25EA213342}"/>
    <hyperlink ref="A54" r:id="rId130" display="https://herhoopstats.com/stats/wnba/player/michaela-onyenwere-stats-11ebb4ec-f433-dc94-9a0e-12df17ae4e1e/" xr:uid="{77807D9C-44F3-0B40-8ACE-A5434A3C6904}"/>
    <hyperlink ref="A53" r:id="rId131" display="https://herhoopstats.com/stats/wnba/player/bridget-carleton-stats-11eaecc7-4863-dea2-b611-2362f5011b0b/" xr:uid="{E2534F84-0CA4-1940-A5C4-BF120B7F7FCF}"/>
    <hyperlink ref="A55" r:id="rId132" display="https://herhoopstats.com/stats/wnba/player/sami-whitcomb-stats-11eaecc7-442e-6f32-b611-2362f5011b0b/" xr:uid="{341D048C-6EA1-4747-AA64-5A6D825B048E}"/>
    <hyperlink ref="A41" r:id="rId133" display="https://herhoopstats.com/stats/wnba/player/stephanie-talbot-stats-11eaeccf-b78e-5ec6-abdf-1f3cc36cb6a8/" xr:uid="{6E1ADC05-D946-C748-9E1A-0BB40AE144EC}"/>
    <hyperlink ref="A52" r:id="rId134" display="https://herhoopstats.com/stats/wnba/player/kalani-brown-stats-11eaecc7-418d-e50a-b611-2362f5011b0b/" xr:uid="{F59974DC-1A35-D94C-924C-7DCF93C661BD}"/>
    <hyperlink ref="A51" r:id="rId135" display="https://herhoopstats.com/stats/wnba/player/kayla-thornton-stats-11eaecc7-4a90-c44c-b611-2362f5011b0b/" xr:uid="{3EEB0473-03AA-7044-851B-B2ED5B486471}"/>
    <hyperlink ref="A50" r:id="rId136" display="https://herhoopstats.com/stats/wnba/player/natisha-hiedeman-stats-11eaecc7-3d72-bd2e-b611-2362f5011b0b/" xr:uid="{CA0DA641-FE66-9645-BD4F-422BDB52D6D4}"/>
    <hyperlink ref="A48" r:id="rId137" display="https://herhoopstats.com/stats/wnba/player/rae-burrell-stats-11eccc24-e8e2-4dc6-ba73-12df17ae4e1e/" xr:uid="{470FF662-3C1A-D841-A856-468374D24092}"/>
    <hyperlink ref="A47" r:id="rId138" display="https://herhoopstats.com/stats/wnba/player/kia-nurse-stats-11eaecc7-4321-b31a-b611-2362f5011b0b/" xr:uid="{2B014E72-8EF0-274B-B76F-3A3D04119F01}"/>
    <hyperlink ref="A46" r:id="rId139" display="https://herhoopstats.com/stats/wnba/player/moriah-jefferson-stats-11eaecc7-4a7d-02d6-b611-2362f5011b0b/" xr:uid="{4D33B9AC-4586-AC4A-B0D2-14FB2A2E18E8}"/>
    <hyperlink ref="A43" r:id="rId140" display="https://herhoopstats.com/stats/wnba/player/alanna-smith-stats-11eaecc7-4987-381a-b611-2362f5011b0b/" xr:uid="{E6394D5C-899D-5A49-975A-563BFCF81E2B}"/>
    <hyperlink ref="A44" r:id="rId141" display="https://herhoopstats.com/stats/wnba/player/nia-coffey-stats-11eaecc7-4922-6ff2-b611-2362f5011b0b/" xr:uid="{4C7A3E67-37C3-EC45-8394-99E479A5531C}"/>
    <hyperlink ref="A45" r:id="rId142" display="https://herhoopstats.com/stats/wnba/player/shatori-walker-kimbrough-stats-11eaecc7-48f9-7232-b611-2362f5011b0b/" xr:uid="{BF572154-47DC-9943-BCCF-FD66182F3272}"/>
    <hyperlink ref="A42" r:id="rId143" display="https://herhoopstats.com/stats/wnba/player/rebecca-allen-stats-11eaecc7-42d4-5c28-b611-2362f5011b0b/" xr:uid="{5BB64799-CE22-3347-AA41-9B47FB673D4D}"/>
    <hyperlink ref="A40" r:id="rId144" display="https://herhoopstats.com/stats/wnba/player/jackie-young-stats-11eaecc7-44e8-b55e-b611-2362f5011b0b/" xr:uid="{521C7097-D5A7-CD48-B8A4-0FFC68518AD3}"/>
    <hyperlink ref="A39" r:id="rId145" display="https://herhoopstats.com/stats/wnba/player/tina-charles-stats-11eaecc7-3fff-1632-b611-2362f5011b0b/" xr:uid="{F4BC63D9-A0E4-F540-9CAA-67F513EA2BB4}"/>
    <hyperlink ref="A38" r:id="rId146" display="https://herhoopstats.com/stats/wnba/player/stefanie-dolson-stats-11eaecc7-3c9e-9f12-b611-2362f5011b0b/" xr:uid="{E3529DD0-B649-8A4F-A88C-CFCB39071927}"/>
    <hyperlink ref="A37" r:id="rId147" display="https://herhoopstats.com/stats/wnba/player/courtney-williams-stats-11eaecc7-4166-152a-b611-2362f5011b0b/" xr:uid="{58AE5C45-9FC4-E346-BFC1-5DB9B6C33F3E}"/>
    <hyperlink ref="A36" r:id="rId148" display="https://herhoopstats.com/stats/wnba/player/courtney-vandersloot-stats-11eaecc7-3ce0-75a4-b611-2362f5011b0b/" xr:uid="{410CAAC1-D5D0-2741-95C9-F2E53528221C}"/>
    <hyperlink ref="A35" r:id="rId149" display="https://herhoopstats.com/stats/wnba/player/ezi-magbegor-stats-11eaecc7-441a-969c-b611-2362f5011b0b/" xr:uid="{96268EBA-6D2D-1446-97FA-74EEF90A0746}"/>
    <hyperlink ref="A33" r:id="rId150" display="https://herhoopstats.com/stats/wnba/player/allisha-gray-stats-11eaecc7-4a13-fcb4-b611-2362f5011b0b/" xr:uid="{59AF5B52-2C90-694A-B623-A2DA3759F770}"/>
    <hyperlink ref="A34" r:id="rId151" display="https://herhoopstats.com/stats/wnba/player/jordin-canada-stats-11eaecc7-43b9-89ce-b611-2362f5011b0b/" xr:uid="{6F37AE63-FE84-6449-9562-904C7C992EE6}"/>
    <hyperlink ref="A32" r:id="rId152" display="https://herhoopstats.com/stats/wnba/player/nneka-ogwumike-stats-11eaecc7-46d2-8ba6-b611-2362f5011b0b/" xr:uid="{1734C5B2-FB83-DB46-84AB-C6F0DF67AC2F}"/>
    <hyperlink ref="A30" r:id="rId153" display="https://herhoopstats.com/stats/wnba/player/azura-stevens-stats-11eaecc7-3c1a-6f26-b611-2362f5011b0b/" xr:uid="{BCCC8644-D370-314B-A200-9A72540EACA5}"/>
    <hyperlink ref="A31" r:id="rId154" display="https://herhoopstats.com/stats/wnba/player/brittney-sykes-stats-11eaecc7-45e2-de26-b611-2362f5011b0b/" xr:uid="{F8DBA50E-A065-6A44-9678-A3EEE49E2CD0}"/>
    <hyperlink ref="A29" r:id="rId155" display="https://herhoopstats.com/stats/wnba/player/chelsea-gray-stats-11eaecc7-46a9-5f74-b611-2362f5011b0b/" xr:uid="{8F0E09E7-2F48-554D-BD74-73BEFE668C47}"/>
    <hyperlink ref="A25" r:id="rId156" display="https://herhoopstats.com/stats/wnba/player/aja-wilson-stats-11eaecc7-44fc-b036-b611-2362f5011b0b/" xr:uid="{910287B1-8667-5641-AEBC-720A672AD939}"/>
    <hyperlink ref="A26" r:id="rId157" display="https://herhoopstats.com/stats/wnba/player/dijonai-carrington-stats-11ebb4ec-f0ba-a8e0-9a0e-12df17ae4e1e/" xr:uid="{AC88B0D8-4CBF-A74C-AD82-D87DA7901BEB}"/>
    <hyperlink ref="A27" r:id="rId158" display="https://herhoopstats.com/stats/wnba/player/natasha-cloud-stats-11eaecc7-40c5-e9b0-b611-2362f5011b0b/" xr:uid="{56FF240D-9046-EA40-85B0-7BD19C644A3F}"/>
    <hyperlink ref="A28" r:id="rId159" display="https://herhoopstats.com/stats/wnba/player/tiffany-hayes-stats-11eaecc7-41f3-ae80-b611-2362f5011b0b/" xr:uid="{70A15C4A-C26B-054B-8B9E-FA355D2E40DA}"/>
    <hyperlink ref="A24" r:id="rId160" display="https://herhoopstats.com/stats/wnba/player/teaira-mccowan-stats-11eaecc7-3f66-c81e-b611-2362f5011b0b/" xr:uid="{57423616-4643-2545-964D-7CAB91A3204A}"/>
    <hyperlink ref="A23" r:id="rId161" display="https://herhoopstats.com/stats/wnba/player/kelsey-plum-stats-11eaecc7-44d4-ac1c-b611-2362f5011b0b/" xr:uid="{F86E29DD-1AD3-114C-BCAF-6002E34E3D34}"/>
    <hyperlink ref="A22" r:id="rId162" display="https://herhoopstats.com/stats/wnba/player/dearica-hamby-stats-11eaecc7-4510-aa3c-b611-2362f5011b0b/" xr:uid="{C90E980E-3459-CD48-B3F0-C555AABFF672}"/>
    <hyperlink ref="A21" r:id="rId163" display="https://herhoopstats.com/stats/wnba/player/myisha-hines-allen-stats-11eaecc7-403b-32b6-b611-2362f5011b0b/" xr:uid="{E6E80AAD-5A7B-654E-AA87-8CBD38DA8356}"/>
    <hyperlink ref="A20" r:id="rId164" display="https://herhoopstats.com/stats/wnba/player/kayla-mcbride-stats-11eaecc7-4574-a37a-b611-2362f5011b0b/" xr:uid="{E87623E6-F443-F84A-8818-AD10DE9542CD}"/>
    <hyperlink ref="A19" r:id="rId165" display="https://herhoopstats.com/stats/wnba/player/alysha-clark-stats-11eaecc7-4468-8e38-b611-2362f5011b0b/" xr:uid="{17FA1162-AE6D-EA45-A5FA-0430CD331128}"/>
    <hyperlink ref="A18" r:id="rId166" display="https://herhoopstats.com/stats/wnba/player/jonquel-jones-stats-11eaecc7-3dd5-8260-b611-2362f5011b0b/" xr:uid="{9257930B-3233-C94A-B86F-A6E6D4A010C3}"/>
    <hyperlink ref="A17" r:id="rId167" display="https://herhoopstats.com/stats/wnba/player/marina-mabrey-stats-11eaecc7-4a51-4696-b611-2362f5011b0b/" xr:uid="{BE11EAA1-4EE5-4148-88EF-D41F19886CA7}"/>
    <hyperlink ref="A16" r:id="rId168" display="https://herhoopstats.com/stats/wnba/player/napheesa-collier-stats-11eaecc7-4753-2158-b611-2362f5011b0b/" xr:uid="{0B1B7CA3-7E5C-2545-8A55-78B8F0E9661A}"/>
    <hyperlink ref="A12" r:id="rId169" display="https://herhoopstats.com/stats/wnba/player/brionna-jones-stats-11eaecc7-3e39-3166-b611-2362f5011b0b/" xr:uid="{0C93BA87-590B-6E4B-8A42-758B69E53E74}"/>
    <hyperlink ref="A15" r:id="rId170" display="https://herhoopstats.com/stats/wnba/player/skylar-diggins-stats-11eaecc7-495f-145c-b611-2362f5011b0b/" xr:uid="{CC6417A9-F28F-BC44-9699-59B687F26EB6}"/>
    <hyperlink ref="A14" r:id="rId171" display="https://herhoopstats.com/stats/wnba/player/natasha-howard-stats-11eaecc7-43d0-ecb8-b611-2362f5011b0b/" xr:uid="{EA2377C2-B85B-2748-A2C5-1985BB473C9B}"/>
    <hyperlink ref="A13" r:id="rId172" display="https://herhoopstats.com/stats/wnba/player/brittney-griner-stats-11eaecc7-48bb-e0e8-b611-2362f5011b0b/" xr:uid="{6540186B-98A3-8741-BD81-433CB0E8783F}"/>
    <hyperlink ref="A10" r:id="rId173" display="https://herhoopstats.com/stats/wnba/player/alyssa-thomas-stats-11eaecc7-3dc1-cb58-b611-2362f5011b0b/" xr:uid="{009DC6D2-458F-5F43-93C1-E8F2EFF515FE}"/>
    <hyperlink ref="A11" r:id="rId174" display="https://herhoopstats.com/stats/wnba/player/satou-sabally-stats-11eaecc7-4a3c-a22c-b611-2362f5011b0b/" xr:uid="{B0B4E047-527C-5142-A2FF-B7E4E4E97230}"/>
    <hyperlink ref="A9" r:id="rId175" display="https://herhoopstats.com/stats/wnba/player/sabrina-ionescu-stats-11eaecc7-425a-0c5c-b611-2362f5011b0b/" xr:uid="{9C7FB99E-6D6E-0649-A836-03EB0A854173}"/>
    <hyperlink ref="A8" r:id="rId176" display="https://herhoopstats.com/stats/wnba/player/breanna-stewart-stats-11eaecc7-4406-bae6-b611-2362f5011b0b/" xr:uid="{7B6A33AF-9A9B-F64D-B373-4CC66166BF1D}"/>
    <hyperlink ref="A7" r:id="rId177" display="https://herhoopstats.com/stats/wnba/player/ariel-atkins-stats-11eaecc7-3fd7-a656-b611-2362f5011b0b/" xr:uid="{FE55EA0D-C382-A146-B443-925A85D2E6D5}"/>
    <hyperlink ref="A6" r:id="rId178" display="https://herhoopstats.com/stats/wnba/player/gabby-williams-stats-11eaecc7-3c73-5668-b611-2362f5011b0b/" xr:uid="{78ADAD90-6272-C04E-8CD7-C5E183BEBB19}"/>
    <hyperlink ref="A5" r:id="rId179" display="https://herhoopstats.com/stats/wnba/player/kahleah-copper-stats-11eaecc7-3c89-9b3a-b611-2362f5011b0b/" xr:uid="{16B27AC2-4C7D-A444-904B-F8FF92ACC75D}"/>
    <hyperlink ref="A4" r:id="rId180" display="https://herhoopstats.com/stats/wnba/player/jewell-loyd-stats-11eaecc7-4392-1cfe-b611-2362f5011b0b/" xr:uid="{C4F15EFA-AB38-7F43-AF2F-2EBE17B89CCF}"/>
    <hyperlink ref="A3" r:id="rId181" display="https://herhoopstats.com/stats/wnba/player/arike-ogunbowale-stats-11eaecc7-4acc-6038-b611-2362f5011b0b/" xr:uid="{EFEBA616-5ABB-2B4C-8B5C-3A3E3DEF93B5}"/>
    <hyperlink ref="A2" r:id="rId182" display="https://herhoopstats.com/stats/wnba/player/kelsey-mitchell-stats-11eaecc7-3f02-2418-b611-2362f5011b0b/" xr:uid="{93106918-C27F-3D48-988F-3CDBEA273434}"/>
  </hyperlink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BF9A1-E3FA-9C42-A292-C8B597004C26}">
  <dimension ref="A1:G37"/>
  <sheetViews>
    <sheetView tabSelected="1" zoomScale="75" zoomScaleNormal="100" workbookViewId="0">
      <selection activeCell="G21" sqref="G21"/>
    </sheetView>
  </sheetViews>
  <sheetFormatPr baseColWidth="10" defaultRowHeight="16" x14ac:dyDescent="0.2"/>
  <cols>
    <col min="1" max="1" width="24.6640625" style="36" customWidth="1"/>
    <col min="2" max="2" width="8.1640625" style="36" customWidth="1"/>
    <col min="3" max="3" width="10.83203125" style="36"/>
    <col min="4" max="4" width="28.1640625" style="36" customWidth="1"/>
    <col min="5" max="5" width="21" style="36" customWidth="1"/>
    <col min="6" max="6" width="10.83203125" style="36"/>
    <col min="7" max="7" width="26.5" style="36" customWidth="1"/>
    <col min="8" max="16384" width="10.83203125" style="36"/>
  </cols>
  <sheetData>
    <row r="1" spans="1:7" ht="21" x14ac:dyDescent="0.2">
      <c r="A1" s="34" t="s">
        <v>220</v>
      </c>
      <c r="B1" s="35"/>
      <c r="D1" s="50" t="s">
        <v>228</v>
      </c>
      <c r="E1" s="50"/>
      <c r="F1" s="50"/>
      <c r="G1" s="50"/>
    </row>
    <row r="2" spans="1:7" ht="19" x14ac:dyDescent="0.2">
      <c r="A2" s="37" t="s">
        <v>218</v>
      </c>
      <c r="B2" s="37" t="s">
        <v>219</v>
      </c>
      <c r="D2" s="37" t="s">
        <v>226</v>
      </c>
      <c r="E2" s="37" t="s">
        <v>227</v>
      </c>
      <c r="F2" s="37" t="s">
        <v>5</v>
      </c>
      <c r="G2" s="37" t="s">
        <v>229</v>
      </c>
    </row>
    <row r="3" spans="1:7" x14ac:dyDescent="0.2">
      <c r="A3" s="38" t="s">
        <v>210</v>
      </c>
      <c r="B3" s="39">
        <f>COUNTIF('Filtered Data'!D:D, A3)</f>
        <v>1</v>
      </c>
      <c r="D3" s="44" t="str" cm="1">
        <f t="array" ref="D3:D37">_xlfn._xlws.FILTER('Filtered Data'!A2:A183, ('Filtered Data'!B2:B183&lt;80336) * ('Filtered Data'!H2:H183&gt;=13))</f>
        <v>Nyara Sabally</v>
      </c>
      <c r="E3" s="45" t="str" cm="1">
        <f t="array" ref="E3:E37">_xlfn._xlws.FILTER('Filtered Data'!D2:D183, ('Filtered Data'!B2:B183&lt;80336) * ('Filtered Data'!H2:H183&gt;=13))</f>
        <v>Rookie Scale</v>
      </c>
      <c r="F3" s="45" cm="1">
        <f t="array" ref="F3:F37">_xlfn._xlws.FILTER('Filtered Data'!H2:H183, ('Filtered Data'!B2:B183&lt;80336) * ('Filtered Data'!H2:H183&gt;=13))</f>
        <v>13.4</v>
      </c>
      <c r="G3" s="39" t="str">
        <f>IF(F3&gt;=25, "Super Max", IF(F3&gt;=20, "Standard Max", IF(F3&gt;=13, "Mid-tier", "Below Mid-tier")))</f>
        <v>Mid-tier</v>
      </c>
    </row>
    <row r="4" spans="1:7" x14ac:dyDescent="0.2">
      <c r="A4" s="38" t="s">
        <v>211</v>
      </c>
      <c r="B4" s="39">
        <f>COUNTIF('Filtered Data'!D:D, A4)</f>
        <v>13</v>
      </c>
      <c r="D4" s="46" t="str">
        <v>Cheyenne Parker-Tyus</v>
      </c>
      <c r="E4" s="47" t="str">
        <v>Veteran Minimum</v>
      </c>
      <c r="F4" s="47">
        <v>37.6</v>
      </c>
      <c r="G4" s="39" t="str">
        <f t="shared" ref="G4:G37" si="0">IF(F4&gt;=25, "Super Max", IF(F4&gt;=20, "Standard Max", IF(F4&gt;=13, "Mid-tier", "Below Mid-tier")))</f>
        <v>Super Max</v>
      </c>
    </row>
    <row r="5" spans="1:7" x14ac:dyDescent="0.2">
      <c r="A5" s="38" t="s">
        <v>212</v>
      </c>
      <c r="B5" s="39">
        <f>COUNTIF('Filtered Data'!D:D, A5)</f>
        <v>63</v>
      </c>
      <c r="D5" s="46" t="str">
        <v>Dominique Malonga</v>
      </c>
      <c r="E5" s="47" t="str">
        <v>Rookie Scale</v>
      </c>
      <c r="F5" s="47">
        <v>20.100000000000001</v>
      </c>
      <c r="G5" s="39" t="str">
        <f t="shared" si="0"/>
        <v>Standard Max</v>
      </c>
    </row>
    <row r="6" spans="1:7" x14ac:dyDescent="0.2">
      <c r="A6" s="38" t="s">
        <v>215</v>
      </c>
      <c r="B6" s="39">
        <f>COUNTIF('Filtered Data'!D:D, A6)</f>
        <v>13</v>
      </c>
      <c r="D6" s="46" t="str">
        <v>Erica Wheeler</v>
      </c>
      <c r="E6" s="47" t="str">
        <v>Veteran Minimum</v>
      </c>
      <c r="F6" s="47">
        <v>13.3</v>
      </c>
      <c r="G6" s="39" t="str">
        <f t="shared" si="0"/>
        <v>Mid-tier</v>
      </c>
    </row>
    <row r="7" spans="1:7" x14ac:dyDescent="0.2">
      <c r="A7" s="38" t="s">
        <v>214</v>
      </c>
      <c r="B7" s="39">
        <f>COUNTIF('Filtered Data'!D:D, A7)</f>
        <v>48</v>
      </c>
      <c r="D7" s="46" t="str">
        <v>Isabelle Harrison</v>
      </c>
      <c r="E7" s="47" t="str">
        <v>Veteran Minimum</v>
      </c>
      <c r="F7" s="47">
        <v>17.3</v>
      </c>
      <c r="G7" s="39" t="str">
        <f t="shared" si="0"/>
        <v>Mid-tier</v>
      </c>
    </row>
    <row r="8" spans="1:7" x14ac:dyDescent="0.2">
      <c r="A8" s="40" t="s">
        <v>213</v>
      </c>
      <c r="B8" s="41">
        <f>COUNTIF('Filtered Data'!D:D, A8)</f>
        <v>44</v>
      </c>
      <c r="D8" s="46" t="str">
        <v>Jessica Shepard</v>
      </c>
      <c r="E8" s="47" t="str">
        <v>Special / Short-term</v>
      </c>
      <c r="F8" s="47">
        <v>20.9</v>
      </c>
      <c r="G8" s="39" t="str">
        <f t="shared" si="0"/>
        <v>Standard Max</v>
      </c>
    </row>
    <row r="9" spans="1:7" x14ac:dyDescent="0.2">
      <c r="D9" s="46" t="str">
        <v>Kennedy Burke</v>
      </c>
      <c r="E9" s="47" t="str">
        <v>Veteran Minimum</v>
      </c>
      <c r="F9" s="47">
        <v>13.9</v>
      </c>
      <c r="G9" s="39" t="str">
        <f t="shared" si="0"/>
        <v>Mid-tier</v>
      </c>
    </row>
    <row r="10" spans="1:7" ht="21" x14ac:dyDescent="0.2">
      <c r="A10" s="34" t="s">
        <v>221</v>
      </c>
      <c r="B10" s="35"/>
      <c r="D10" s="46" t="str">
        <v>Kiki Iriafen</v>
      </c>
      <c r="E10" s="47" t="str">
        <v>Rookie Scale</v>
      </c>
      <c r="F10" s="47">
        <v>17.3</v>
      </c>
      <c r="G10" s="39" t="str">
        <f t="shared" si="0"/>
        <v>Mid-tier</v>
      </c>
    </row>
    <row r="11" spans="1:7" ht="19" x14ac:dyDescent="0.2">
      <c r="A11" s="37" t="s">
        <v>218</v>
      </c>
      <c r="B11" s="37" t="s">
        <v>219</v>
      </c>
      <c r="D11" s="46" t="str">
        <v>Paige Bueckers</v>
      </c>
      <c r="E11" s="47" t="str">
        <v>Rookie Scale</v>
      </c>
      <c r="F11" s="47">
        <v>21.9</v>
      </c>
      <c r="G11" s="39" t="str">
        <f t="shared" si="0"/>
        <v>Standard Max</v>
      </c>
    </row>
    <row r="12" spans="1:7" x14ac:dyDescent="0.2">
      <c r="A12" s="42" t="s">
        <v>222</v>
      </c>
      <c r="B12" s="39" cm="1">
        <f t="array" ref="B12">SUMPRODUCT(('Filtered Data'!B2:B183&lt;80336) * ('Filtered Data'!H2:H183&gt;=13))</f>
        <v>35</v>
      </c>
      <c r="D12" s="46" t="str">
        <v>Sonia Citron</v>
      </c>
      <c r="E12" s="47" t="str">
        <v>Rookie Scale</v>
      </c>
      <c r="F12" s="47">
        <v>16.399999999999999</v>
      </c>
      <c r="G12" s="39" t="str">
        <f t="shared" si="0"/>
        <v>Mid-tier</v>
      </c>
    </row>
    <row r="13" spans="1:7" x14ac:dyDescent="0.2">
      <c r="A13" s="42" t="s">
        <v>223</v>
      </c>
      <c r="B13" s="39" cm="1">
        <f t="array" ref="B13">SUMPRODUCT(('Filtered Data'!B2:B183&gt;=80336) * ('Filtered Data'!H2:H183&lt;13))</f>
        <v>34</v>
      </c>
      <c r="D13" s="46" t="str">
        <v>Caitlin Clark</v>
      </c>
      <c r="E13" s="47" t="str">
        <v>Rookie Scale</v>
      </c>
      <c r="F13" s="47">
        <v>16.600000000000001</v>
      </c>
      <c r="G13" s="39" t="str">
        <f t="shared" si="0"/>
        <v>Mid-tier</v>
      </c>
    </row>
    <row r="14" spans="1:7" x14ac:dyDescent="0.2">
      <c r="A14" s="42" t="s">
        <v>224</v>
      </c>
      <c r="B14" s="39" cm="1">
        <f t="array" ref="B14">SUMPRODUCT(('Filtered Data'!B2:B183&gt;=80336) * ('Filtered Data'!H2:H183&gt;=13))</f>
        <v>57</v>
      </c>
      <c r="D14" s="46" t="str">
        <v>Cameron Brink</v>
      </c>
      <c r="E14" s="47" t="str">
        <v>Rookie Scale</v>
      </c>
      <c r="F14" s="47">
        <v>15.2</v>
      </c>
      <c r="G14" s="39" t="str">
        <f t="shared" si="0"/>
        <v>Mid-tier</v>
      </c>
    </row>
    <row r="15" spans="1:7" x14ac:dyDescent="0.2">
      <c r="A15" s="43" t="s">
        <v>225</v>
      </c>
      <c r="B15" s="41" cm="1">
        <f t="array" ref="B15">SUMPRODUCT(('Filtered Data'!B2:B183&lt;80336) * ('Filtered Data'!H2:H183&lt;13))</f>
        <v>56</v>
      </c>
      <c r="D15" s="46" t="str">
        <v>Kamilla Cardoso</v>
      </c>
      <c r="E15" s="47" t="str">
        <v>Rookie Scale</v>
      </c>
      <c r="F15" s="47">
        <v>19.600000000000001</v>
      </c>
      <c r="G15" s="39" t="str">
        <f t="shared" si="0"/>
        <v>Mid-tier</v>
      </c>
    </row>
    <row r="16" spans="1:7" x14ac:dyDescent="0.2">
      <c r="D16" s="46" t="str">
        <v>Emma Meesseman</v>
      </c>
      <c r="E16" s="47" t="str">
        <v>Veteran Minimum</v>
      </c>
      <c r="F16" s="47">
        <v>23.6</v>
      </c>
      <c r="G16" s="39" t="str">
        <f t="shared" si="0"/>
        <v>Standard Max</v>
      </c>
    </row>
    <row r="17" spans="4:7" x14ac:dyDescent="0.2">
      <c r="D17" s="46" t="str">
        <v>Aneesah Morrow</v>
      </c>
      <c r="E17" s="47" t="str">
        <v>Rookie Scale</v>
      </c>
      <c r="F17" s="47">
        <v>14.9</v>
      </c>
      <c r="G17" s="39" t="str">
        <f t="shared" si="0"/>
        <v>Mid-tier</v>
      </c>
    </row>
    <row r="18" spans="4:7" x14ac:dyDescent="0.2">
      <c r="D18" s="46" t="str">
        <v>Saniya Rivers</v>
      </c>
      <c r="E18" s="47" t="str">
        <v>Rookie Scale</v>
      </c>
      <c r="F18" s="47">
        <v>13.6</v>
      </c>
      <c r="G18" s="39" t="str">
        <f t="shared" si="0"/>
        <v>Mid-tier</v>
      </c>
    </row>
    <row r="19" spans="4:7" x14ac:dyDescent="0.2">
      <c r="D19" s="46" t="str">
        <v>Aaliyah Edwards</v>
      </c>
      <c r="E19" s="47" t="str">
        <v>Rookie Scale</v>
      </c>
      <c r="F19" s="47">
        <v>13</v>
      </c>
      <c r="G19" s="39" t="str">
        <f t="shared" si="0"/>
        <v>Mid-tier</v>
      </c>
    </row>
    <row r="20" spans="4:7" x14ac:dyDescent="0.2">
      <c r="D20" s="46" t="str">
        <v>Angel Reese</v>
      </c>
      <c r="E20" s="47" t="str">
        <v>Rookie Scale</v>
      </c>
      <c r="F20" s="47">
        <v>19.600000000000001</v>
      </c>
      <c r="G20" s="39" t="str">
        <f t="shared" si="0"/>
        <v>Mid-tier</v>
      </c>
    </row>
    <row r="21" spans="4:7" x14ac:dyDescent="0.2">
      <c r="D21" s="46" t="str">
        <v>Leila Lacan</v>
      </c>
      <c r="E21" s="47" t="str">
        <v>Rookie Scale</v>
      </c>
      <c r="F21" s="47">
        <v>15.8</v>
      </c>
      <c r="G21" s="39" t="str">
        <f t="shared" si="0"/>
        <v>Mid-tier</v>
      </c>
    </row>
    <row r="22" spans="4:7" x14ac:dyDescent="0.2">
      <c r="D22" s="46" t="str">
        <v>Anastasiia Olairi Kosu</v>
      </c>
      <c r="E22" s="47" t="str">
        <v>Rookie Scale</v>
      </c>
      <c r="F22" s="47">
        <v>13.9</v>
      </c>
      <c r="G22" s="39" t="str">
        <f t="shared" si="0"/>
        <v>Mid-tier</v>
      </c>
    </row>
    <row r="23" spans="4:7" x14ac:dyDescent="0.2">
      <c r="D23" s="46" t="str">
        <v>Makayla Timpson</v>
      </c>
      <c r="E23" s="47" t="str">
        <v>Rookie Scale</v>
      </c>
      <c r="F23" s="47">
        <v>17.5</v>
      </c>
      <c r="G23" s="39" t="str">
        <f t="shared" si="0"/>
        <v>Mid-tier</v>
      </c>
    </row>
    <row r="24" spans="4:7" x14ac:dyDescent="0.2">
      <c r="D24" s="46" t="str">
        <v>Te-Hina Paopao</v>
      </c>
      <c r="E24" s="47" t="str">
        <v>Rookie Scale</v>
      </c>
      <c r="F24" s="47">
        <v>13.2</v>
      </c>
      <c r="G24" s="39" t="str">
        <f t="shared" si="0"/>
        <v>Mid-tier</v>
      </c>
    </row>
    <row r="25" spans="4:7" x14ac:dyDescent="0.2">
      <c r="D25" s="46" t="str">
        <v>JJ Quinerly</v>
      </c>
      <c r="E25" s="47" t="str">
        <v>Rookie Scale</v>
      </c>
      <c r="F25" s="47">
        <v>13.1</v>
      </c>
      <c r="G25" s="39" t="str">
        <f t="shared" si="0"/>
        <v>Mid-tier</v>
      </c>
    </row>
    <row r="26" spans="4:7" x14ac:dyDescent="0.2">
      <c r="D26" s="46" t="str">
        <v>Li Yueru</v>
      </c>
      <c r="E26" s="47" t="str">
        <v>Veteran Minimum</v>
      </c>
      <c r="F26" s="47">
        <v>13.4</v>
      </c>
      <c r="G26" s="39" t="str">
        <f t="shared" si="0"/>
        <v>Mid-tier</v>
      </c>
    </row>
    <row r="27" spans="4:7" x14ac:dyDescent="0.2">
      <c r="D27" s="46" t="str">
        <v>Aari McDonald</v>
      </c>
      <c r="E27" s="47" t="str">
        <v>Special / Short-term</v>
      </c>
      <c r="F27" s="47">
        <v>14.1</v>
      </c>
      <c r="G27" s="39" t="str">
        <f t="shared" si="0"/>
        <v>Mid-tier</v>
      </c>
    </row>
    <row r="28" spans="4:7" x14ac:dyDescent="0.2">
      <c r="D28" s="46" t="str">
        <v>Kaila Charles</v>
      </c>
      <c r="E28" s="47" t="str">
        <v>Special / Short-term</v>
      </c>
      <c r="F28" s="47">
        <v>14</v>
      </c>
      <c r="G28" s="39" t="str">
        <f t="shared" si="0"/>
        <v>Mid-tier</v>
      </c>
    </row>
    <row r="29" spans="4:7" x14ac:dyDescent="0.2">
      <c r="D29" s="46" t="str">
        <v>Maria Kliundikova</v>
      </c>
      <c r="E29" s="47" t="str">
        <v>Special / Short-term</v>
      </c>
      <c r="F29" s="47">
        <v>19.600000000000001</v>
      </c>
      <c r="G29" s="39" t="str">
        <f t="shared" si="0"/>
        <v>Mid-tier</v>
      </c>
    </row>
    <row r="30" spans="4:7" x14ac:dyDescent="0.2">
      <c r="D30" s="46" t="str">
        <v>Laeticia Amihere</v>
      </c>
      <c r="E30" s="47" t="str">
        <v>Special / Short-term</v>
      </c>
      <c r="F30" s="47">
        <v>18.3</v>
      </c>
      <c r="G30" s="39" t="str">
        <f t="shared" si="0"/>
        <v>Mid-tier</v>
      </c>
    </row>
    <row r="31" spans="4:7" x14ac:dyDescent="0.2">
      <c r="D31" s="46" t="str">
        <v>Mackenzie Holmes</v>
      </c>
      <c r="E31" s="47" t="str">
        <v>Special / Short-term</v>
      </c>
      <c r="F31" s="47">
        <v>13.6</v>
      </c>
      <c r="G31" s="39" t="str">
        <f t="shared" si="0"/>
        <v>Mid-tier</v>
      </c>
    </row>
    <row r="32" spans="4:7" x14ac:dyDescent="0.2">
      <c r="D32" s="46" t="str">
        <v>Chloe Bibby</v>
      </c>
      <c r="E32" s="47" t="str">
        <v>Special / Short-term</v>
      </c>
      <c r="F32" s="47">
        <v>14.8</v>
      </c>
      <c r="G32" s="39" t="str">
        <f t="shared" si="0"/>
        <v>Mid-tier</v>
      </c>
    </row>
    <row r="33" spans="4:7" x14ac:dyDescent="0.2">
      <c r="D33" s="46" t="str">
        <v>Iliana Rupert</v>
      </c>
      <c r="E33" s="47" t="str">
        <v>Rookie Scale</v>
      </c>
      <c r="F33" s="47">
        <v>16.2</v>
      </c>
      <c r="G33" s="39" t="str">
        <f t="shared" si="0"/>
        <v>Mid-tier</v>
      </c>
    </row>
    <row r="34" spans="4:7" x14ac:dyDescent="0.2">
      <c r="D34" s="46" t="str">
        <v>Megan McConnell</v>
      </c>
      <c r="E34" s="47" t="str">
        <v>Special / Short-term</v>
      </c>
      <c r="F34" s="47">
        <v>15.8</v>
      </c>
      <c r="G34" s="39" t="str">
        <f t="shared" si="0"/>
        <v>Mid-tier</v>
      </c>
    </row>
    <row r="35" spans="4:7" x14ac:dyDescent="0.2">
      <c r="D35" s="46" t="str">
        <v>Murjanatu Musa</v>
      </c>
      <c r="E35" s="47" t="str">
        <v>Special / Short-term</v>
      </c>
      <c r="F35" s="47">
        <v>13.4</v>
      </c>
      <c r="G35" s="39" t="str">
        <f t="shared" si="0"/>
        <v>Mid-tier</v>
      </c>
    </row>
    <row r="36" spans="4:7" x14ac:dyDescent="0.2">
      <c r="D36" s="46" t="str">
        <v>Aerial Powers</v>
      </c>
      <c r="E36" s="47" t="str">
        <v>Special / Short-term</v>
      </c>
      <c r="F36" s="47">
        <v>16.399999999999999</v>
      </c>
      <c r="G36" s="39" t="str">
        <f t="shared" si="0"/>
        <v>Mid-tier</v>
      </c>
    </row>
    <row r="37" spans="4:7" x14ac:dyDescent="0.2">
      <c r="D37" s="48" t="str">
        <v>Amy Okonkwo</v>
      </c>
      <c r="E37" s="49" t="str">
        <v>Special / Short-term</v>
      </c>
      <c r="F37" s="49">
        <v>21.9</v>
      </c>
      <c r="G37" s="41" t="str">
        <f t="shared" si="0"/>
        <v>Standard Max</v>
      </c>
    </row>
  </sheetData>
  <mergeCells count="3">
    <mergeCell ref="A1:B1"/>
    <mergeCell ref="A10:B10"/>
    <mergeCell ref="D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28"/>
  <sheetViews>
    <sheetView topLeftCell="A33" workbookViewId="0">
      <selection activeCell="B235" sqref="B235"/>
    </sheetView>
  </sheetViews>
  <sheetFormatPr baseColWidth="10" defaultColWidth="11" defaultRowHeight="16" x14ac:dyDescent="0.2"/>
  <cols>
    <col min="1" max="1" width="28.5" customWidth="1"/>
    <col min="2" max="2" width="20" style="17" customWidth="1"/>
    <col min="3" max="3" width="20" style="24" customWidth="1"/>
    <col min="4" max="4" width="19.6640625" customWidth="1"/>
    <col min="5" max="5" width="16.83203125" customWidth="1"/>
    <col min="6" max="6" width="10.83203125" customWidth="1"/>
    <col min="7" max="7" width="13.83203125" customWidth="1"/>
    <col min="8" max="17" width="14.1640625" customWidth="1"/>
  </cols>
  <sheetData>
    <row r="1" spans="1:18" ht="44" x14ac:dyDescent="0.2">
      <c r="A1" s="19" t="s">
        <v>0</v>
      </c>
      <c r="B1" s="12" t="s">
        <v>1</v>
      </c>
      <c r="C1" s="22" t="s">
        <v>209</v>
      </c>
      <c r="D1" s="12" t="s">
        <v>208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</row>
    <row r="2" spans="1:18" ht="18" x14ac:dyDescent="0.2">
      <c r="A2" s="20" t="s">
        <v>46</v>
      </c>
      <c r="B2" s="13">
        <v>200000</v>
      </c>
      <c r="C2" s="23">
        <v>8</v>
      </c>
      <c r="D2" t="s">
        <v>212</v>
      </c>
      <c r="E2" s="2" t="s">
        <v>35</v>
      </c>
      <c r="F2" s="9">
        <v>40</v>
      </c>
      <c r="G2" s="9">
        <v>1247</v>
      </c>
      <c r="H2" s="10">
        <v>33.1</v>
      </c>
      <c r="I2" s="9">
        <v>41343</v>
      </c>
      <c r="J2" s="11">
        <v>8.9</v>
      </c>
      <c r="K2" s="11">
        <v>6.3</v>
      </c>
      <c r="L2" s="11">
        <v>2.6</v>
      </c>
      <c r="M2" s="11">
        <v>0.28999999999999998</v>
      </c>
      <c r="N2" s="11">
        <v>0.2</v>
      </c>
      <c r="O2" s="11">
        <v>0.08</v>
      </c>
      <c r="P2" s="10">
        <v>118.6</v>
      </c>
      <c r="Q2" s="10">
        <v>93.3</v>
      </c>
      <c r="R2" s="18"/>
    </row>
    <row r="3" spans="1:18" ht="18" x14ac:dyDescent="0.2">
      <c r="A3" s="20" t="s">
        <v>130</v>
      </c>
      <c r="B3" s="14">
        <v>74909</v>
      </c>
      <c r="C3" s="23">
        <v>2</v>
      </c>
      <c r="D3" t="s">
        <v>214</v>
      </c>
      <c r="E3" s="2" t="s">
        <v>25</v>
      </c>
      <c r="F3" s="9">
        <v>36</v>
      </c>
      <c r="G3" s="9">
        <v>534</v>
      </c>
      <c r="H3" s="10">
        <v>13</v>
      </c>
      <c r="I3" s="9">
        <v>6951</v>
      </c>
      <c r="J3" s="11">
        <v>0.9</v>
      </c>
      <c r="K3" s="11">
        <v>0.2</v>
      </c>
      <c r="L3" s="11">
        <v>0.7</v>
      </c>
      <c r="M3" s="11">
        <v>7.0000000000000007E-2</v>
      </c>
      <c r="N3" s="11">
        <v>0.02</v>
      </c>
      <c r="O3" s="11">
        <v>0.05</v>
      </c>
      <c r="P3" s="10">
        <v>95.7</v>
      </c>
      <c r="Q3" s="10">
        <v>100.4</v>
      </c>
    </row>
    <row r="4" spans="1:18" ht="18" x14ac:dyDescent="0.2">
      <c r="A4" s="20" t="s">
        <v>142</v>
      </c>
      <c r="B4" s="14">
        <v>69267</v>
      </c>
      <c r="C4" s="23">
        <v>2</v>
      </c>
      <c r="D4" t="s">
        <v>214</v>
      </c>
      <c r="E4" s="2" t="s">
        <v>25</v>
      </c>
      <c r="F4" s="9">
        <v>44</v>
      </c>
      <c r="G4" s="9">
        <v>671</v>
      </c>
      <c r="H4" s="10">
        <v>5.8</v>
      </c>
      <c r="I4" s="9">
        <v>3909</v>
      </c>
      <c r="J4" s="11">
        <v>0.3</v>
      </c>
      <c r="K4" s="11">
        <v>-0.1</v>
      </c>
      <c r="L4" s="11">
        <v>0.3</v>
      </c>
      <c r="M4" s="11">
        <v>0.02</v>
      </c>
      <c r="N4" s="11">
        <v>0</v>
      </c>
      <c r="O4" s="11">
        <v>0.02</v>
      </c>
      <c r="P4" s="10">
        <v>90.9</v>
      </c>
      <c r="Q4" s="10">
        <v>106.2</v>
      </c>
    </row>
    <row r="5" spans="1:18" ht="18" x14ac:dyDescent="0.2">
      <c r="A5" s="20" t="s">
        <v>169</v>
      </c>
      <c r="B5" s="14">
        <v>52333</v>
      </c>
      <c r="C5" s="23">
        <v>5</v>
      </c>
      <c r="D5" t="s">
        <v>213</v>
      </c>
      <c r="E5" s="2" t="s">
        <v>29</v>
      </c>
      <c r="F5" s="9">
        <v>20</v>
      </c>
      <c r="G5" s="9">
        <v>525</v>
      </c>
      <c r="H5" s="10">
        <v>14.1</v>
      </c>
      <c r="I5" s="9">
        <v>7383</v>
      </c>
      <c r="J5" s="11">
        <v>1.4</v>
      </c>
      <c r="K5" s="11">
        <v>0.9</v>
      </c>
      <c r="L5" s="11">
        <v>0.5</v>
      </c>
      <c r="M5" s="11">
        <v>0.11</v>
      </c>
      <c r="N5" s="11">
        <v>7.0000000000000007E-2</v>
      </c>
      <c r="O5" s="11">
        <v>0.04</v>
      </c>
      <c r="P5" s="10">
        <v>105.8</v>
      </c>
      <c r="Q5" s="10">
        <v>102.8</v>
      </c>
    </row>
    <row r="6" spans="1:18" ht="18" x14ac:dyDescent="0.2">
      <c r="A6" s="20" t="s">
        <v>169</v>
      </c>
      <c r="B6" s="15">
        <v>6459</v>
      </c>
      <c r="C6" s="23">
        <v>5</v>
      </c>
      <c r="D6" t="s">
        <v>213</v>
      </c>
      <c r="E6" s="2" t="s">
        <v>190</v>
      </c>
      <c r="F6" s="9">
        <v>20</v>
      </c>
      <c r="G6" s="9">
        <v>525</v>
      </c>
      <c r="H6" s="10">
        <v>14.1</v>
      </c>
      <c r="I6" s="9">
        <v>7383</v>
      </c>
      <c r="J6" s="11">
        <v>1.4</v>
      </c>
      <c r="K6" s="11">
        <v>0.9</v>
      </c>
      <c r="L6" s="11">
        <v>0.5</v>
      </c>
      <c r="M6" s="11">
        <v>0.11</v>
      </c>
      <c r="N6" s="11">
        <v>7.0000000000000007E-2</v>
      </c>
      <c r="O6" s="11">
        <v>0.04</v>
      </c>
      <c r="P6" s="10">
        <v>105.8</v>
      </c>
      <c r="Q6" s="10">
        <v>102.8</v>
      </c>
    </row>
    <row r="7" spans="1:18" ht="18" x14ac:dyDescent="0.2">
      <c r="A7" s="20" t="s">
        <v>197</v>
      </c>
      <c r="B7" s="15">
        <v>11924</v>
      </c>
      <c r="C7" s="23">
        <v>10</v>
      </c>
      <c r="D7" t="s">
        <v>213</v>
      </c>
      <c r="E7" s="2" t="s">
        <v>29</v>
      </c>
      <c r="F7" s="9">
        <v>10</v>
      </c>
      <c r="G7" s="9">
        <v>167</v>
      </c>
      <c r="H7" s="10">
        <v>16.399999999999999</v>
      </c>
      <c r="I7" s="9">
        <v>2736</v>
      </c>
      <c r="J7" s="11">
        <v>0.6</v>
      </c>
      <c r="K7" s="11">
        <v>0.3</v>
      </c>
      <c r="L7" s="11">
        <v>0.3</v>
      </c>
      <c r="M7" s="11">
        <v>0.15</v>
      </c>
      <c r="N7" s="11">
        <v>7.0000000000000007E-2</v>
      </c>
      <c r="O7" s="11">
        <v>0.08</v>
      </c>
      <c r="P7" s="10">
        <v>104.7</v>
      </c>
      <c r="Q7" s="10">
        <v>94.6</v>
      </c>
    </row>
    <row r="8" spans="1:18" ht="18" x14ac:dyDescent="0.2">
      <c r="A8" s="20" t="s">
        <v>197</v>
      </c>
      <c r="B8" s="15">
        <v>9274</v>
      </c>
      <c r="C8" s="23">
        <v>10</v>
      </c>
      <c r="D8" t="s">
        <v>213</v>
      </c>
      <c r="E8" s="2" t="s">
        <v>190</v>
      </c>
      <c r="F8" s="9">
        <v>10</v>
      </c>
      <c r="G8" s="9">
        <v>167</v>
      </c>
      <c r="H8" s="10">
        <v>16.399999999999999</v>
      </c>
      <c r="I8" s="9">
        <v>2736</v>
      </c>
      <c r="J8" s="11">
        <v>0.6</v>
      </c>
      <c r="K8" s="11">
        <v>0.3</v>
      </c>
      <c r="L8" s="11">
        <v>0.3</v>
      </c>
      <c r="M8" s="11">
        <v>0.15</v>
      </c>
      <c r="N8" s="11">
        <v>7.0000000000000007E-2</v>
      </c>
      <c r="O8" s="11">
        <v>0.08</v>
      </c>
      <c r="P8" s="10">
        <v>104.7</v>
      </c>
      <c r="Q8" s="10">
        <v>94.6</v>
      </c>
    </row>
    <row r="9" spans="1:18" ht="18" x14ac:dyDescent="0.2">
      <c r="A9" s="20" t="s">
        <v>197</v>
      </c>
      <c r="B9" s="14">
        <v>3975</v>
      </c>
      <c r="C9" s="23">
        <v>10</v>
      </c>
      <c r="D9" t="s">
        <v>213</v>
      </c>
      <c r="E9" s="2" t="s">
        <v>190</v>
      </c>
      <c r="F9" s="9">
        <v>10</v>
      </c>
      <c r="G9" s="9">
        <v>167</v>
      </c>
      <c r="H9" s="10">
        <v>16.399999999999999</v>
      </c>
      <c r="I9" s="9">
        <v>2736</v>
      </c>
      <c r="J9" s="11">
        <v>0.6</v>
      </c>
      <c r="K9" s="11">
        <v>0.3</v>
      </c>
      <c r="L9" s="11">
        <v>0.3</v>
      </c>
      <c r="M9" s="11">
        <v>0.15</v>
      </c>
      <c r="N9" s="11">
        <v>7.0000000000000007E-2</v>
      </c>
      <c r="O9" s="11">
        <v>0.08</v>
      </c>
      <c r="P9" s="10">
        <v>104.7</v>
      </c>
      <c r="Q9" s="10">
        <v>94.6</v>
      </c>
    </row>
    <row r="10" spans="1:18" ht="18" x14ac:dyDescent="0.2">
      <c r="A10" s="20" t="s">
        <v>197</v>
      </c>
      <c r="B10" s="16"/>
      <c r="C10" s="23">
        <v>10</v>
      </c>
      <c r="E10" s="2" t="s">
        <v>29</v>
      </c>
      <c r="F10" s="9">
        <v>10</v>
      </c>
      <c r="G10" s="9">
        <v>167</v>
      </c>
      <c r="H10" s="10">
        <v>16.399999999999999</v>
      </c>
      <c r="I10" s="9">
        <v>2736</v>
      </c>
      <c r="J10" s="11">
        <v>0.6</v>
      </c>
      <c r="K10" s="11">
        <v>0.3</v>
      </c>
      <c r="L10" s="11">
        <v>0.3</v>
      </c>
      <c r="M10" s="11">
        <v>0.15</v>
      </c>
      <c r="N10" s="11">
        <v>7.0000000000000007E-2</v>
      </c>
      <c r="O10" s="11">
        <v>0.08</v>
      </c>
      <c r="P10" s="10">
        <v>104.7</v>
      </c>
      <c r="Q10" s="10">
        <v>94.6</v>
      </c>
    </row>
    <row r="11" spans="1:18" ht="18" x14ac:dyDescent="0.2">
      <c r="A11" s="20" t="s">
        <v>207</v>
      </c>
      <c r="B11" s="15">
        <v>2915</v>
      </c>
      <c r="C11" s="23">
        <v>2</v>
      </c>
      <c r="D11" t="s">
        <v>213</v>
      </c>
      <c r="E11" s="2" t="s">
        <v>190</v>
      </c>
      <c r="F11" s="9">
        <v>2</v>
      </c>
      <c r="G11" s="9">
        <v>6000</v>
      </c>
      <c r="H11" s="10">
        <v>-0.9</v>
      </c>
      <c r="I11" s="9">
        <v>-5</v>
      </c>
      <c r="J11" s="11">
        <v>0</v>
      </c>
      <c r="K11" s="11">
        <v>0</v>
      </c>
      <c r="L11" s="11">
        <v>0</v>
      </c>
      <c r="M11" s="11">
        <v>0.01</v>
      </c>
      <c r="N11" s="11">
        <v>0</v>
      </c>
      <c r="O11" s="11">
        <v>0.01</v>
      </c>
      <c r="P11" s="10"/>
      <c r="Q11" s="10">
        <v>107.5</v>
      </c>
    </row>
    <row r="12" spans="1:18" ht="18" x14ac:dyDescent="0.2">
      <c r="A12" s="20" t="s">
        <v>207</v>
      </c>
      <c r="B12" s="14">
        <v>1250</v>
      </c>
      <c r="C12" s="23">
        <v>2</v>
      </c>
      <c r="D12" t="s">
        <v>213</v>
      </c>
      <c r="E12" s="2" t="s">
        <v>190</v>
      </c>
      <c r="F12" s="9">
        <v>2</v>
      </c>
      <c r="G12" s="9">
        <v>6000</v>
      </c>
      <c r="H12" s="10">
        <v>-0.9</v>
      </c>
      <c r="I12" s="9">
        <v>-5</v>
      </c>
      <c r="J12" s="11">
        <v>0</v>
      </c>
      <c r="K12" s="11">
        <v>0</v>
      </c>
      <c r="L12" s="11">
        <v>0</v>
      </c>
      <c r="M12" s="11">
        <v>0.01</v>
      </c>
      <c r="N12" s="11">
        <v>0</v>
      </c>
      <c r="O12" s="11">
        <v>0.01</v>
      </c>
      <c r="P12" s="10"/>
      <c r="Q12" s="10">
        <v>107.5</v>
      </c>
    </row>
    <row r="13" spans="1:18" ht="18" x14ac:dyDescent="0.2">
      <c r="A13" s="20" t="s">
        <v>63</v>
      </c>
      <c r="B13" s="13">
        <v>150000</v>
      </c>
      <c r="C13" s="23">
        <v>7</v>
      </c>
      <c r="D13" t="s">
        <v>212</v>
      </c>
      <c r="E13" s="2" t="s">
        <v>29</v>
      </c>
      <c r="F13" s="9">
        <v>42</v>
      </c>
      <c r="G13" s="9">
        <v>1114</v>
      </c>
      <c r="H13" s="10">
        <v>18</v>
      </c>
      <c r="I13" s="9">
        <v>20095</v>
      </c>
      <c r="J13" s="11">
        <v>4.5</v>
      </c>
      <c r="K13" s="11">
        <v>2.2000000000000002</v>
      </c>
      <c r="L13" s="11">
        <v>2.2999999999999998</v>
      </c>
      <c r="M13" s="11">
        <v>0.16</v>
      </c>
      <c r="N13" s="11">
        <v>0.08</v>
      </c>
      <c r="O13" s="11">
        <v>0.08</v>
      </c>
      <c r="P13" s="10">
        <v>110</v>
      </c>
      <c r="Q13" s="10">
        <v>93.7</v>
      </c>
    </row>
    <row r="14" spans="1:18" ht="18" x14ac:dyDescent="0.2">
      <c r="A14" s="20" t="s">
        <v>205</v>
      </c>
      <c r="B14" s="15">
        <v>3975</v>
      </c>
      <c r="C14" s="23">
        <v>1</v>
      </c>
      <c r="D14" t="s">
        <v>213</v>
      </c>
      <c r="E14" s="2" t="s">
        <v>29</v>
      </c>
      <c r="F14" s="9">
        <v>1</v>
      </c>
      <c r="G14" s="9">
        <v>22</v>
      </c>
      <c r="H14" s="10">
        <v>-1.4</v>
      </c>
      <c r="I14" s="9">
        <v>-30</v>
      </c>
      <c r="J14" s="11">
        <v>0</v>
      </c>
      <c r="K14" s="11">
        <v>-0.1</v>
      </c>
      <c r="L14" s="11">
        <v>0.1</v>
      </c>
      <c r="M14" s="11">
        <v>0</v>
      </c>
      <c r="N14" s="11">
        <v>-0.17</v>
      </c>
      <c r="O14" s="11">
        <v>0.17</v>
      </c>
      <c r="P14" s="10">
        <v>40.5</v>
      </c>
      <c r="Q14" s="10">
        <v>76.099999999999994</v>
      </c>
    </row>
    <row r="15" spans="1:18" ht="18" x14ac:dyDescent="0.2">
      <c r="A15" s="20" t="s">
        <v>175</v>
      </c>
      <c r="B15" s="15">
        <v>37769</v>
      </c>
      <c r="C15" s="23">
        <v>3</v>
      </c>
      <c r="D15" t="s">
        <v>213</v>
      </c>
      <c r="E15" s="2" t="s">
        <v>18</v>
      </c>
      <c r="F15" s="9">
        <v>19</v>
      </c>
      <c r="G15" s="9">
        <v>99</v>
      </c>
      <c r="H15" s="10">
        <v>12.5</v>
      </c>
      <c r="I15" s="9">
        <v>1232</v>
      </c>
      <c r="J15" s="11">
        <v>0.2</v>
      </c>
      <c r="K15" s="11">
        <v>0.2</v>
      </c>
      <c r="L15" s="11">
        <v>0.1</v>
      </c>
      <c r="M15" s="11">
        <v>0.1</v>
      </c>
      <c r="N15" s="11">
        <v>7.0000000000000007E-2</v>
      </c>
      <c r="O15" s="11">
        <v>0.03</v>
      </c>
      <c r="P15" s="10">
        <v>106.3</v>
      </c>
      <c r="Q15" s="10">
        <v>103.2</v>
      </c>
    </row>
    <row r="16" spans="1:18" ht="18" x14ac:dyDescent="0.2">
      <c r="A16" s="20" t="s">
        <v>175</v>
      </c>
      <c r="B16" s="15">
        <v>11661</v>
      </c>
      <c r="C16" s="23">
        <v>3</v>
      </c>
      <c r="D16" t="s">
        <v>213</v>
      </c>
      <c r="E16" s="2" t="s">
        <v>29</v>
      </c>
      <c r="F16" s="9">
        <v>19</v>
      </c>
      <c r="G16" s="9">
        <v>99</v>
      </c>
      <c r="H16" s="10">
        <v>12.5</v>
      </c>
      <c r="I16" s="9">
        <v>1232</v>
      </c>
      <c r="J16" s="11">
        <v>0.2</v>
      </c>
      <c r="K16" s="11">
        <v>0.2</v>
      </c>
      <c r="L16" s="11">
        <v>0.1</v>
      </c>
      <c r="M16" s="11">
        <v>0.1</v>
      </c>
      <c r="N16" s="11">
        <v>7.0000000000000007E-2</v>
      </c>
      <c r="O16" s="11">
        <v>0.03</v>
      </c>
      <c r="P16" s="10">
        <v>106.3</v>
      </c>
      <c r="Q16" s="10">
        <v>103.2</v>
      </c>
    </row>
    <row r="17" spans="1:17" ht="18" x14ac:dyDescent="0.2">
      <c r="A17" s="20" t="s">
        <v>175</v>
      </c>
      <c r="B17" s="14">
        <v>10550</v>
      </c>
      <c r="C17" s="23">
        <v>3</v>
      </c>
      <c r="D17" t="s">
        <v>213</v>
      </c>
      <c r="E17" s="2" t="s">
        <v>29</v>
      </c>
      <c r="F17" s="9">
        <v>19</v>
      </c>
      <c r="G17" s="9">
        <v>99</v>
      </c>
      <c r="H17" s="10">
        <v>12.5</v>
      </c>
      <c r="I17" s="9">
        <v>1232</v>
      </c>
      <c r="J17" s="11">
        <v>0.2</v>
      </c>
      <c r="K17" s="11">
        <v>0.2</v>
      </c>
      <c r="L17" s="11">
        <v>0.1</v>
      </c>
      <c r="M17" s="11">
        <v>0.1</v>
      </c>
      <c r="N17" s="11">
        <v>7.0000000000000007E-2</v>
      </c>
      <c r="O17" s="11">
        <v>0.03</v>
      </c>
      <c r="P17" s="10">
        <v>106.3</v>
      </c>
      <c r="Q17" s="10">
        <v>103.2</v>
      </c>
    </row>
    <row r="18" spans="1:17" ht="18" x14ac:dyDescent="0.2">
      <c r="A18" s="20" t="s">
        <v>104</v>
      </c>
      <c r="B18" s="14">
        <v>83371</v>
      </c>
      <c r="C18" s="23">
        <v>3</v>
      </c>
      <c r="D18" t="s">
        <v>214</v>
      </c>
      <c r="E18" s="2" t="s">
        <v>25</v>
      </c>
      <c r="F18" s="9">
        <v>44</v>
      </c>
      <c r="G18" s="9">
        <v>1327</v>
      </c>
      <c r="H18" s="10">
        <v>22.5</v>
      </c>
      <c r="I18" s="9">
        <v>29890</v>
      </c>
      <c r="J18" s="11">
        <v>6.7</v>
      </c>
      <c r="K18" s="11">
        <v>4.7</v>
      </c>
      <c r="L18" s="11">
        <v>2</v>
      </c>
      <c r="M18" s="11">
        <v>0.2</v>
      </c>
      <c r="N18" s="11">
        <v>0.14000000000000001</v>
      </c>
      <c r="O18" s="11">
        <v>0.06</v>
      </c>
      <c r="P18" s="10">
        <v>117.9</v>
      </c>
      <c r="Q18" s="10">
        <v>98.1</v>
      </c>
    </row>
    <row r="19" spans="1:17" ht="18" x14ac:dyDescent="0.2">
      <c r="A19" s="20" t="s">
        <v>52</v>
      </c>
      <c r="B19" s="13">
        <v>190000</v>
      </c>
      <c r="C19" s="23">
        <v>9</v>
      </c>
      <c r="D19" t="s">
        <v>212</v>
      </c>
      <c r="E19" s="2" t="s">
        <v>35</v>
      </c>
      <c r="F19" s="9">
        <v>42</v>
      </c>
      <c r="G19" s="9">
        <v>1451</v>
      </c>
      <c r="H19" s="10">
        <v>19.600000000000001</v>
      </c>
      <c r="I19" s="9">
        <v>28457</v>
      </c>
      <c r="J19" s="11">
        <v>7.2</v>
      </c>
      <c r="K19" s="11">
        <v>5.2</v>
      </c>
      <c r="L19" s="11">
        <v>2</v>
      </c>
      <c r="M19" s="11">
        <v>0.2</v>
      </c>
      <c r="N19" s="11">
        <v>0.14000000000000001</v>
      </c>
      <c r="O19" s="11">
        <v>0.06</v>
      </c>
      <c r="P19" s="10">
        <v>119</v>
      </c>
      <c r="Q19" s="10">
        <v>99.2</v>
      </c>
    </row>
    <row r="20" spans="1:17" ht="18" x14ac:dyDescent="0.2">
      <c r="A20" s="20" t="s">
        <v>37</v>
      </c>
      <c r="B20" s="14">
        <v>205908</v>
      </c>
      <c r="C20" s="23">
        <v>16</v>
      </c>
      <c r="D20" t="s">
        <v>212</v>
      </c>
      <c r="E20" s="2" t="s">
        <v>29</v>
      </c>
      <c r="F20" s="9">
        <v>42</v>
      </c>
      <c r="G20" s="9">
        <v>828</v>
      </c>
      <c r="H20" s="10">
        <v>7.1</v>
      </c>
      <c r="I20" s="9">
        <v>5868</v>
      </c>
      <c r="J20" s="11">
        <v>1</v>
      </c>
      <c r="K20" s="11">
        <v>0.3</v>
      </c>
      <c r="L20" s="11">
        <v>0.8</v>
      </c>
      <c r="M20" s="11">
        <v>0.05</v>
      </c>
      <c r="N20" s="11">
        <v>0.01</v>
      </c>
      <c r="O20" s="11">
        <v>0.04</v>
      </c>
      <c r="P20" s="10">
        <v>97.3</v>
      </c>
      <c r="Q20" s="10">
        <v>102.9</v>
      </c>
    </row>
    <row r="21" spans="1:17" ht="18" x14ac:dyDescent="0.2">
      <c r="A21" s="20" t="s">
        <v>27</v>
      </c>
      <c r="B21" s="13">
        <v>215000</v>
      </c>
      <c r="C21" s="23">
        <v>12</v>
      </c>
      <c r="D21" t="s">
        <v>211</v>
      </c>
      <c r="E21" s="2" t="s">
        <v>16</v>
      </c>
      <c r="F21" s="9">
        <v>39</v>
      </c>
      <c r="G21" s="9">
        <v>1221</v>
      </c>
      <c r="H21" s="10">
        <v>25.1</v>
      </c>
      <c r="I21" s="9">
        <v>30588</v>
      </c>
      <c r="J21" s="11">
        <v>6.6</v>
      </c>
      <c r="K21" s="11">
        <v>4.4000000000000004</v>
      </c>
      <c r="L21" s="11">
        <v>2.2000000000000002</v>
      </c>
      <c r="M21" s="11">
        <v>0.22</v>
      </c>
      <c r="N21" s="11">
        <v>0.14000000000000001</v>
      </c>
      <c r="O21" s="11">
        <v>7.0000000000000007E-2</v>
      </c>
      <c r="P21" s="10">
        <v>113.5</v>
      </c>
      <c r="Q21" s="10">
        <v>95.7</v>
      </c>
    </row>
    <row r="22" spans="1:17" ht="18" x14ac:dyDescent="0.2">
      <c r="A22" s="20" t="s">
        <v>202</v>
      </c>
      <c r="B22" s="15">
        <v>7774</v>
      </c>
      <c r="C22" s="23">
        <v>3</v>
      </c>
      <c r="D22" t="s">
        <v>213</v>
      </c>
      <c r="E22" s="2" t="s">
        <v>29</v>
      </c>
      <c r="F22" s="9">
        <v>8</v>
      </c>
      <c r="G22" s="9">
        <v>157</v>
      </c>
      <c r="H22" s="10">
        <v>21.9</v>
      </c>
      <c r="I22" s="9">
        <v>3429</v>
      </c>
      <c r="J22" s="11">
        <v>0.5</v>
      </c>
      <c r="K22" s="11">
        <v>0.5</v>
      </c>
      <c r="L22" s="11">
        <v>0</v>
      </c>
      <c r="M22" s="11">
        <v>0.14000000000000001</v>
      </c>
      <c r="N22" s="11">
        <v>0.14000000000000001</v>
      </c>
      <c r="O22" s="11">
        <v>0</v>
      </c>
      <c r="P22" s="10">
        <v>120.6</v>
      </c>
      <c r="Q22" s="10">
        <v>110.1</v>
      </c>
    </row>
    <row r="23" spans="1:17" ht="18" x14ac:dyDescent="0.2">
      <c r="A23" s="20" t="s">
        <v>202</v>
      </c>
      <c r="B23" s="14">
        <v>2915</v>
      </c>
      <c r="C23" s="23">
        <v>3</v>
      </c>
      <c r="D23" t="s">
        <v>213</v>
      </c>
      <c r="E23" s="2" t="s">
        <v>29</v>
      </c>
      <c r="F23" s="9">
        <v>8</v>
      </c>
      <c r="G23" s="9">
        <v>157</v>
      </c>
      <c r="H23" s="10">
        <v>21.9</v>
      </c>
      <c r="I23" s="9">
        <v>3429</v>
      </c>
      <c r="J23" s="11">
        <v>0.5</v>
      </c>
      <c r="K23" s="11">
        <v>0.5</v>
      </c>
      <c r="L23" s="11">
        <v>0</v>
      </c>
      <c r="M23" s="11">
        <v>0.14000000000000001</v>
      </c>
      <c r="N23" s="11">
        <v>0.14000000000000001</v>
      </c>
      <c r="O23" s="11">
        <v>0</v>
      </c>
      <c r="P23" s="10">
        <v>120.6</v>
      </c>
      <c r="Q23" s="10">
        <v>110.1</v>
      </c>
    </row>
    <row r="24" spans="1:17" ht="18" x14ac:dyDescent="0.2">
      <c r="A24" s="20" t="s">
        <v>141</v>
      </c>
      <c r="B24" s="14">
        <v>69267</v>
      </c>
      <c r="C24" s="23">
        <v>2</v>
      </c>
      <c r="D24" t="s">
        <v>214</v>
      </c>
      <c r="E24" s="2" t="s">
        <v>25</v>
      </c>
      <c r="F24" s="9">
        <v>21</v>
      </c>
      <c r="G24" s="9">
        <v>80</v>
      </c>
      <c r="H24" s="10">
        <v>13.9</v>
      </c>
      <c r="I24" s="9">
        <v>1105</v>
      </c>
      <c r="J24" s="11">
        <v>0.2</v>
      </c>
      <c r="K24" s="11">
        <v>0.1</v>
      </c>
      <c r="L24" s="11">
        <v>0.1</v>
      </c>
      <c r="M24" s="11">
        <v>0.08</v>
      </c>
      <c r="N24" s="11">
        <v>0.04</v>
      </c>
      <c r="O24" s="11">
        <v>0.04</v>
      </c>
      <c r="P24" s="10">
        <v>98.7</v>
      </c>
      <c r="Q24" s="10">
        <v>101.6</v>
      </c>
    </row>
    <row r="25" spans="1:17" ht="18" x14ac:dyDescent="0.2">
      <c r="A25" s="20" t="s">
        <v>128</v>
      </c>
      <c r="B25" s="14">
        <v>75643</v>
      </c>
      <c r="C25" s="23">
        <v>3</v>
      </c>
      <c r="D25" t="s">
        <v>214</v>
      </c>
      <c r="E25" s="2" t="s">
        <v>25</v>
      </c>
      <c r="F25" s="9">
        <v>41</v>
      </c>
      <c r="G25" s="9">
        <v>775</v>
      </c>
      <c r="H25" s="10">
        <v>14.9</v>
      </c>
      <c r="I25" s="9">
        <v>11528</v>
      </c>
      <c r="J25" s="11">
        <v>1</v>
      </c>
      <c r="K25" s="11">
        <v>0.3</v>
      </c>
      <c r="L25" s="11">
        <v>0.7</v>
      </c>
      <c r="M25" s="11">
        <v>0.05</v>
      </c>
      <c r="N25" s="11">
        <v>0.02</v>
      </c>
      <c r="O25" s="11">
        <v>0.04</v>
      </c>
      <c r="P25" s="10">
        <v>94.9</v>
      </c>
      <c r="Q25" s="10">
        <v>103</v>
      </c>
    </row>
    <row r="26" spans="1:17" ht="18" x14ac:dyDescent="0.2">
      <c r="A26" s="20" t="s">
        <v>132</v>
      </c>
      <c r="B26" s="14">
        <v>74909</v>
      </c>
      <c r="C26" s="23">
        <v>2</v>
      </c>
      <c r="D26" t="s">
        <v>214</v>
      </c>
      <c r="E26" s="2" t="s">
        <v>25</v>
      </c>
      <c r="F26" s="9">
        <v>30</v>
      </c>
      <c r="G26" s="9">
        <v>947</v>
      </c>
      <c r="H26" s="10">
        <v>19.600000000000001</v>
      </c>
      <c r="I26" s="9">
        <v>18533</v>
      </c>
      <c r="J26" s="11">
        <v>2.2999999999999998</v>
      </c>
      <c r="K26" s="11">
        <v>1.3</v>
      </c>
      <c r="L26" s="11">
        <v>1</v>
      </c>
      <c r="M26" s="11">
        <v>0.1</v>
      </c>
      <c r="N26" s="11">
        <v>0.06</v>
      </c>
      <c r="O26" s="11">
        <v>0.04</v>
      </c>
      <c r="P26" s="10">
        <v>100.6</v>
      </c>
      <c r="Q26" s="10">
        <v>101.9</v>
      </c>
    </row>
    <row r="27" spans="1:17" ht="18" x14ac:dyDescent="0.2">
      <c r="A27" s="20" t="s">
        <v>22</v>
      </c>
      <c r="B27" s="13">
        <v>223000</v>
      </c>
      <c r="C27" s="23">
        <v>8</v>
      </c>
      <c r="D27" t="s">
        <v>211</v>
      </c>
      <c r="E27" s="2" t="s">
        <v>18</v>
      </c>
      <c r="F27" s="9">
        <v>34</v>
      </c>
      <c r="G27" s="9">
        <v>970</v>
      </c>
      <c r="H27" s="10">
        <v>16</v>
      </c>
      <c r="I27" s="9">
        <v>15499</v>
      </c>
      <c r="J27" s="11">
        <v>2</v>
      </c>
      <c r="K27" s="11">
        <v>1.5</v>
      </c>
      <c r="L27" s="11">
        <v>0.4</v>
      </c>
      <c r="M27" s="11">
        <v>0.08</v>
      </c>
      <c r="N27" s="11">
        <v>0.06</v>
      </c>
      <c r="O27" s="11">
        <v>0.02</v>
      </c>
      <c r="P27" s="10">
        <v>103.6</v>
      </c>
      <c r="Q27" s="10">
        <v>106.5</v>
      </c>
    </row>
    <row r="28" spans="1:17" ht="18" x14ac:dyDescent="0.2">
      <c r="A28" s="20" t="s">
        <v>17</v>
      </c>
      <c r="B28" s="13">
        <v>249032</v>
      </c>
      <c r="C28" s="23">
        <v>7</v>
      </c>
      <c r="D28" t="s">
        <v>211</v>
      </c>
      <c r="E28" s="2" t="s">
        <v>18</v>
      </c>
      <c r="F28" s="9">
        <v>29</v>
      </c>
      <c r="G28" s="9">
        <v>966</v>
      </c>
      <c r="H28" s="10">
        <v>13.3</v>
      </c>
      <c r="I28" s="9">
        <v>12825</v>
      </c>
      <c r="J28" s="11">
        <v>1.3</v>
      </c>
      <c r="K28" s="11">
        <v>1.3</v>
      </c>
      <c r="L28" s="11">
        <v>0</v>
      </c>
      <c r="M28" s="11">
        <v>0.05</v>
      </c>
      <c r="N28" s="11">
        <v>0.05</v>
      </c>
      <c r="O28" s="11">
        <v>0</v>
      </c>
      <c r="P28" s="10">
        <v>101.8</v>
      </c>
      <c r="Q28" s="10">
        <v>110</v>
      </c>
    </row>
    <row r="29" spans="1:17" ht="18" x14ac:dyDescent="0.2">
      <c r="A29" s="20" t="s">
        <v>135</v>
      </c>
      <c r="B29" s="14">
        <v>72455</v>
      </c>
      <c r="C29" s="23">
        <v>2</v>
      </c>
      <c r="D29" t="s">
        <v>214</v>
      </c>
      <c r="E29" s="2" t="s">
        <v>25</v>
      </c>
      <c r="F29" s="9">
        <v>38</v>
      </c>
      <c r="G29" s="9">
        <v>673</v>
      </c>
      <c r="H29" s="10">
        <v>12.5</v>
      </c>
      <c r="I29" s="9">
        <v>8402</v>
      </c>
      <c r="J29" s="11">
        <v>0.5</v>
      </c>
      <c r="K29" s="11">
        <v>0.4</v>
      </c>
      <c r="L29" s="11">
        <v>0.1</v>
      </c>
      <c r="M29" s="11">
        <v>0.03</v>
      </c>
      <c r="N29" s="11">
        <v>0.02</v>
      </c>
      <c r="O29" s="11">
        <v>0.01</v>
      </c>
      <c r="P29" s="10">
        <v>96.5</v>
      </c>
      <c r="Q29" s="10">
        <v>109</v>
      </c>
    </row>
    <row r="30" spans="1:17" ht="18" x14ac:dyDescent="0.2">
      <c r="A30" s="20" t="s">
        <v>49</v>
      </c>
      <c r="B30" s="13">
        <v>195000</v>
      </c>
      <c r="C30" s="23">
        <v>8</v>
      </c>
      <c r="D30" t="s">
        <v>212</v>
      </c>
      <c r="E30" s="2" t="s">
        <v>29</v>
      </c>
      <c r="F30" s="9">
        <v>44</v>
      </c>
      <c r="G30" s="9">
        <v>1249</v>
      </c>
      <c r="H30" s="10">
        <v>20</v>
      </c>
      <c r="I30" s="9">
        <v>24953</v>
      </c>
      <c r="J30" s="11">
        <v>4.5</v>
      </c>
      <c r="K30" s="11">
        <v>3.4</v>
      </c>
      <c r="L30" s="11">
        <v>1.1000000000000001</v>
      </c>
      <c r="M30" s="11">
        <v>0.14000000000000001</v>
      </c>
      <c r="N30" s="11">
        <v>0.11</v>
      </c>
      <c r="O30" s="11">
        <v>0.04</v>
      </c>
      <c r="P30" s="10">
        <v>115.5</v>
      </c>
      <c r="Q30" s="10">
        <v>102.9</v>
      </c>
    </row>
    <row r="31" spans="1:17" ht="18" x14ac:dyDescent="0.2">
      <c r="A31" s="20" t="s">
        <v>23</v>
      </c>
      <c r="B31" s="13">
        <v>222400</v>
      </c>
      <c r="C31" s="23">
        <v>10</v>
      </c>
      <c r="D31" t="s">
        <v>211</v>
      </c>
      <c r="E31" s="2" t="s">
        <v>16</v>
      </c>
      <c r="F31" s="9">
        <v>31</v>
      </c>
      <c r="G31" s="9">
        <v>948</v>
      </c>
      <c r="H31" s="10">
        <v>23.7</v>
      </c>
      <c r="I31" s="9">
        <v>22486</v>
      </c>
      <c r="J31" s="11">
        <v>4.7</v>
      </c>
      <c r="K31" s="11">
        <v>3.2</v>
      </c>
      <c r="L31" s="11">
        <v>1.5</v>
      </c>
      <c r="M31" s="11">
        <v>0.2</v>
      </c>
      <c r="N31" s="11">
        <v>0.13</v>
      </c>
      <c r="O31" s="11">
        <v>7.0000000000000007E-2</v>
      </c>
      <c r="P31" s="10">
        <v>112.6</v>
      </c>
      <c r="Q31" s="10">
        <v>97.3</v>
      </c>
    </row>
    <row r="32" spans="1:17" ht="18" x14ac:dyDescent="0.2">
      <c r="A32" s="20" t="s">
        <v>194</v>
      </c>
      <c r="B32" s="15">
        <v>12772</v>
      </c>
      <c r="C32" s="23">
        <v>2</v>
      </c>
      <c r="D32" t="s">
        <v>213</v>
      </c>
      <c r="E32" s="2" t="s">
        <v>29</v>
      </c>
      <c r="F32" s="9">
        <v>4</v>
      </c>
      <c r="G32" s="9">
        <v>17</v>
      </c>
      <c r="H32" s="10">
        <v>-15</v>
      </c>
      <c r="I32" s="9">
        <v>-261</v>
      </c>
      <c r="J32" s="11">
        <v>-0.1</v>
      </c>
      <c r="K32" s="11">
        <v>-0.1</v>
      </c>
      <c r="L32" s="11">
        <v>0</v>
      </c>
      <c r="M32" s="11">
        <v>-0.24</v>
      </c>
      <c r="N32" s="11">
        <v>-0.33</v>
      </c>
      <c r="O32" s="11">
        <v>0.09</v>
      </c>
      <c r="P32" s="10">
        <v>33.700000000000003</v>
      </c>
      <c r="Q32" s="10">
        <v>92.2</v>
      </c>
    </row>
    <row r="33" spans="1:17" ht="18" x14ac:dyDescent="0.2">
      <c r="A33" s="20" t="s">
        <v>194</v>
      </c>
      <c r="B33" s="14">
        <v>4442</v>
      </c>
      <c r="C33" s="23">
        <v>2</v>
      </c>
      <c r="D33" t="s">
        <v>213</v>
      </c>
      <c r="E33" s="2" t="s">
        <v>29</v>
      </c>
      <c r="F33" s="9">
        <v>4</v>
      </c>
      <c r="G33" s="9">
        <v>17</v>
      </c>
      <c r="H33" s="10">
        <v>-15</v>
      </c>
      <c r="I33" s="9">
        <v>-261</v>
      </c>
      <c r="J33" s="11">
        <v>-0.1</v>
      </c>
      <c r="K33" s="11">
        <v>-0.1</v>
      </c>
      <c r="L33" s="11">
        <v>0</v>
      </c>
      <c r="M33" s="11">
        <v>-0.24</v>
      </c>
      <c r="N33" s="11">
        <v>-0.33</v>
      </c>
      <c r="O33" s="11">
        <v>0.09</v>
      </c>
      <c r="P33" s="10">
        <v>33.700000000000003</v>
      </c>
      <c r="Q33" s="10">
        <v>92.2</v>
      </c>
    </row>
    <row r="34" spans="1:17" ht="18" x14ac:dyDescent="0.2">
      <c r="A34" s="20" t="s">
        <v>194</v>
      </c>
      <c r="B34" s="15">
        <v>3887</v>
      </c>
      <c r="C34" s="23">
        <v>2</v>
      </c>
      <c r="D34" t="s">
        <v>213</v>
      </c>
      <c r="E34" s="2" t="s">
        <v>29</v>
      </c>
      <c r="F34" s="9">
        <v>4</v>
      </c>
      <c r="G34" s="9">
        <v>17</v>
      </c>
      <c r="H34" s="10">
        <v>-15</v>
      </c>
      <c r="I34" s="9">
        <v>-261</v>
      </c>
      <c r="J34" s="11">
        <v>-0.1</v>
      </c>
      <c r="K34" s="11">
        <v>-0.1</v>
      </c>
      <c r="L34" s="11">
        <v>0</v>
      </c>
      <c r="M34" s="11">
        <v>-0.24</v>
      </c>
      <c r="N34" s="11">
        <v>-0.33</v>
      </c>
      <c r="O34" s="11">
        <v>0.09</v>
      </c>
      <c r="P34" s="10">
        <v>33.700000000000003</v>
      </c>
      <c r="Q34" s="10">
        <v>92.2</v>
      </c>
    </row>
    <row r="35" spans="1:17" ht="18" x14ac:dyDescent="0.2">
      <c r="A35" s="20" t="s">
        <v>113</v>
      </c>
      <c r="B35" s="14">
        <v>78831</v>
      </c>
      <c r="C35" s="23">
        <v>12</v>
      </c>
      <c r="D35" t="s">
        <v>215</v>
      </c>
      <c r="E35" s="2" t="s">
        <v>29</v>
      </c>
      <c r="F35" s="9">
        <v>38</v>
      </c>
      <c r="G35" s="9">
        <v>867</v>
      </c>
      <c r="H35" s="10">
        <v>10.7</v>
      </c>
      <c r="I35" s="9">
        <v>9253</v>
      </c>
      <c r="J35" s="11">
        <v>0.4</v>
      </c>
      <c r="K35" s="11">
        <v>0.6</v>
      </c>
      <c r="L35" s="11">
        <v>-0.1</v>
      </c>
      <c r="M35" s="11">
        <v>0.02</v>
      </c>
      <c r="N35" s="11">
        <v>0.03</v>
      </c>
      <c r="O35" s="11">
        <v>-0.01</v>
      </c>
      <c r="P35" s="10">
        <v>97</v>
      </c>
      <c r="Q35" s="10">
        <v>111.2</v>
      </c>
    </row>
    <row r="36" spans="1:17" ht="18" x14ac:dyDescent="0.2">
      <c r="A36" s="20" t="s">
        <v>100</v>
      </c>
      <c r="B36" s="14">
        <v>85000</v>
      </c>
      <c r="C36" s="23">
        <v>7</v>
      </c>
      <c r="D36" t="s">
        <v>212</v>
      </c>
      <c r="E36" s="2" t="s">
        <v>29</v>
      </c>
      <c r="F36" s="9">
        <v>27</v>
      </c>
      <c r="G36" s="9">
        <v>233</v>
      </c>
      <c r="H36" s="10">
        <v>7.4</v>
      </c>
      <c r="I36" s="9">
        <v>1721</v>
      </c>
      <c r="J36" s="11">
        <v>0.3</v>
      </c>
      <c r="K36" s="11">
        <v>0.1</v>
      </c>
      <c r="L36" s="11">
        <v>0.2</v>
      </c>
      <c r="M36" s="11">
        <v>0.06</v>
      </c>
      <c r="N36" s="11">
        <v>0.02</v>
      </c>
      <c r="O36" s="11">
        <v>0.04</v>
      </c>
      <c r="P36" s="10">
        <v>100.3</v>
      </c>
      <c r="Q36" s="10">
        <v>102.9</v>
      </c>
    </row>
    <row r="37" spans="1:17" ht="18" x14ac:dyDescent="0.2">
      <c r="A37" s="20" t="s">
        <v>72</v>
      </c>
      <c r="B37" s="14">
        <v>125000</v>
      </c>
      <c r="C37" s="23">
        <v>7</v>
      </c>
      <c r="D37" t="s">
        <v>212</v>
      </c>
      <c r="E37" s="2" t="s">
        <v>29</v>
      </c>
      <c r="F37" s="9">
        <v>44</v>
      </c>
      <c r="G37" s="9">
        <v>1227</v>
      </c>
      <c r="H37" s="10">
        <v>10</v>
      </c>
      <c r="I37" s="9">
        <v>12270</v>
      </c>
      <c r="J37" s="11">
        <v>3.2</v>
      </c>
      <c r="K37" s="11">
        <v>1.7</v>
      </c>
      <c r="L37" s="11">
        <v>1.5</v>
      </c>
      <c r="M37" s="11">
        <v>0.1</v>
      </c>
      <c r="N37" s="11">
        <v>0.06</v>
      </c>
      <c r="O37" s="11">
        <v>0.05</v>
      </c>
      <c r="P37" s="10">
        <v>112.2</v>
      </c>
      <c r="Q37" s="10">
        <v>100.7</v>
      </c>
    </row>
    <row r="38" spans="1:17" ht="18" x14ac:dyDescent="0.2">
      <c r="A38" s="20" t="s">
        <v>32</v>
      </c>
      <c r="B38" s="13">
        <v>214466</v>
      </c>
      <c r="C38" s="23">
        <v>9</v>
      </c>
      <c r="D38" t="s">
        <v>211</v>
      </c>
      <c r="E38" s="2" t="s">
        <v>29</v>
      </c>
      <c r="F38" s="9">
        <v>44</v>
      </c>
      <c r="G38" s="9">
        <v>1169</v>
      </c>
      <c r="H38" s="10">
        <v>22.4</v>
      </c>
      <c r="I38" s="9">
        <v>26216</v>
      </c>
      <c r="J38" s="11">
        <v>6.3</v>
      </c>
      <c r="K38" s="11">
        <v>4.2</v>
      </c>
      <c r="L38" s="11">
        <v>2.1</v>
      </c>
      <c r="M38" s="11">
        <v>0.22</v>
      </c>
      <c r="N38" s="11">
        <v>0.14000000000000001</v>
      </c>
      <c r="O38" s="11">
        <v>7.0000000000000007E-2</v>
      </c>
      <c r="P38" s="10">
        <v>119.1</v>
      </c>
      <c r="Q38" s="10">
        <v>95.9</v>
      </c>
    </row>
    <row r="39" spans="1:17" ht="18" x14ac:dyDescent="0.2">
      <c r="A39" s="20" t="s">
        <v>28</v>
      </c>
      <c r="B39" s="13">
        <v>214466</v>
      </c>
      <c r="C39" s="23">
        <v>13</v>
      </c>
      <c r="D39" t="s">
        <v>211</v>
      </c>
      <c r="E39" s="2" t="s">
        <v>29</v>
      </c>
      <c r="F39" s="9">
        <v>39</v>
      </c>
      <c r="G39" s="9">
        <v>810</v>
      </c>
      <c r="H39" s="10">
        <v>16.2</v>
      </c>
      <c r="I39" s="9">
        <v>13154</v>
      </c>
      <c r="J39" s="11">
        <v>2.4</v>
      </c>
      <c r="K39" s="11">
        <v>1.1000000000000001</v>
      </c>
      <c r="L39" s="11">
        <v>1.4</v>
      </c>
      <c r="M39" s="11">
        <v>0.12</v>
      </c>
      <c r="N39" s="11">
        <v>0.05</v>
      </c>
      <c r="O39" s="11">
        <v>7.0000000000000007E-2</v>
      </c>
      <c r="P39" s="10">
        <v>102.1</v>
      </c>
      <c r="Q39" s="10">
        <v>96.6</v>
      </c>
    </row>
    <row r="40" spans="1:17" ht="18" x14ac:dyDescent="0.2">
      <c r="A40" s="20" t="s">
        <v>48</v>
      </c>
      <c r="B40" s="13">
        <v>195000</v>
      </c>
      <c r="C40" s="23">
        <v>9</v>
      </c>
      <c r="D40" t="s">
        <v>212</v>
      </c>
      <c r="E40" s="2" t="s">
        <v>29</v>
      </c>
      <c r="F40" s="9">
        <v>39</v>
      </c>
      <c r="G40" s="9">
        <v>1193</v>
      </c>
      <c r="H40" s="10">
        <v>13.5</v>
      </c>
      <c r="I40" s="9">
        <v>16124</v>
      </c>
      <c r="J40" s="11">
        <v>2.1</v>
      </c>
      <c r="K40" s="11">
        <v>1</v>
      </c>
      <c r="L40" s="11">
        <v>1.1000000000000001</v>
      </c>
      <c r="M40" s="11">
        <v>7.0000000000000007E-2</v>
      </c>
      <c r="N40" s="11">
        <v>0.03</v>
      </c>
      <c r="O40" s="11">
        <v>0.04</v>
      </c>
      <c r="P40" s="10">
        <v>97.7</v>
      </c>
      <c r="Q40" s="10">
        <v>102.9</v>
      </c>
    </row>
    <row r="41" spans="1:17" ht="18" x14ac:dyDescent="0.2">
      <c r="A41" s="20" t="s">
        <v>125</v>
      </c>
      <c r="B41" s="14">
        <v>78066</v>
      </c>
      <c r="C41" s="23">
        <v>2</v>
      </c>
      <c r="D41" t="s">
        <v>214</v>
      </c>
      <c r="E41" s="2" t="s">
        <v>18</v>
      </c>
      <c r="F41" s="9">
        <v>13</v>
      </c>
      <c r="G41" s="9">
        <v>404</v>
      </c>
      <c r="H41" s="10">
        <v>16.600000000000001</v>
      </c>
      <c r="I41" s="9">
        <v>6710</v>
      </c>
      <c r="J41" s="11">
        <v>0.8</v>
      </c>
      <c r="K41" s="11">
        <v>0.2</v>
      </c>
      <c r="L41" s="11">
        <v>0.6</v>
      </c>
      <c r="M41" s="11">
        <v>0.08</v>
      </c>
      <c r="N41" s="11">
        <v>0.02</v>
      </c>
      <c r="O41" s="11">
        <v>0.06</v>
      </c>
      <c r="P41" s="10">
        <v>94.3</v>
      </c>
      <c r="Q41" s="10">
        <v>98.6</v>
      </c>
    </row>
    <row r="42" spans="1:17" ht="18" x14ac:dyDescent="0.2">
      <c r="A42" s="20" t="s">
        <v>122</v>
      </c>
      <c r="B42" s="14">
        <v>78066</v>
      </c>
      <c r="C42" s="23">
        <v>2</v>
      </c>
      <c r="D42" t="s">
        <v>214</v>
      </c>
      <c r="E42" s="2" t="s">
        <v>25</v>
      </c>
      <c r="F42" s="9">
        <v>19</v>
      </c>
      <c r="G42" s="9">
        <v>244</v>
      </c>
      <c r="H42" s="10">
        <v>15.2</v>
      </c>
      <c r="I42" s="9">
        <v>3705</v>
      </c>
      <c r="J42" s="11">
        <v>0.4</v>
      </c>
      <c r="K42" s="11">
        <v>0.1</v>
      </c>
      <c r="L42" s="11">
        <v>0.3</v>
      </c>
      <c r="M42" s="11">
        <v>7.0000000000000007E-2</v>
      </c>
      <c r="N42" s="11">
        <v>0.01</v>
      </c>
      <c r="O42" s="11">
        <v>0.06</v>
      </c>
      <c r="P42" s="10">
        <v>94.1</v>
      </c>
      <c r="Q42" s="10">
        <v>98.9</v>
      </c>
    </row>
    <row r="43" spans="1:17" ht="18" x14ac:dyDescent="0.2">
      <c r="A43" s="20" t="s">
        <v>198</v>
      </c>
      <c r="B43" s="15">
        <v>11661</v>
      </c>
      <c r="C43" s="23">
        <v>2</v>
      </c>
      <c r="D43" t="s">
        <v>213</v>
      </c>
      <c r="E43" s="2" t="s">
        <v>29</v>
      </c>
      <c r="F43" s="9">
        <v>6</v>
      </c>
      <c r="G43" s="9">
        <v>23</v>
      </c>
      <c r="H43" s="10">
        <v>-9.4</v>
      </c>
      <c r="I43" s="9">
        <v>-213</v>
      </c>
      <c r="J43" s="11">
        <v>-0.1</v>
      </c>
      <c r="K43" s="11">
        <v>-0.1</v>
      </c>
      <c r="L43" s="11">
        <v>0</v>
      </c>
      <c r="M43" s="11">
        <v>-0.24</v>
      </c>
      <c r="N43" s="11">
        <v>-0.26</v>
      </c>
      <c r="O43" s="11">
        <v>0.02</v>
      </c>
      <c r="P43" s="10">
        <v>45.7</v>
      </c>
      <c r="Q43" s="10">
        <v>106.2</v>
      </c>
    </row>
    <row r="44" spans="1:17" ht="18" x14ac:dyDescent="0.2">
      <c r="A44" s="20" t="s">
        <v>198</v>
      </c>
      <c r="B44" s="14">
        <v>7949</v>
      </c>
      <c r="C44" s="23">
        <v>2</v>
      </c>
      <c r="D44" t="s">
        <v>213</v>
      </c>
      <c r="E44" s="2" t="s">
        <v>29</v>
      </c>
      <c r="F44" s="9">
        <v>6</v>
      </c>
      <c r="G44" s="9">
        <v>23</v>
      </c>
      <c r="H44" s="10">
        <v>-9.4</v>
      </c>
      <c r="I44" s="9">
        <v>-213</v>
      </c>
      <c r="J44" s="11">
        <v>-0.1</v>
      </c>
      <c r="K44" s="11">
        <v>-0.1</v>
      </c>
      <c r="L44" s="11">
        <v>0</v>
      </c>
      <c r="M44" s="11">
        <v>-0.24</v>
      </c>
      <c r="N44" s="11">
        <v>-0.26</v>
      </c>
      <c r="O44" s="11">
        <v>0.02</v>
      </c>
      <c r="P44" s="10">
        <v>45.7</v>
      </c>
      <c r="Q44" s="10">
        <v>106.2</v>
      </c>
    </row>
    <row r="45" spans="1:17" ht="18" x14ac:dyDescent="0.2">
      <c r="A45" s="20" t="s">
        <v>136</v>
      </c>
      <c r="B45" s="14">
        <v>72455</v>
      </c>
      <c r="C45" s="23">
        <v>3</v>
      </c>
      <c r="D45" t="s">
        <v>214</v>
      </c>
      <c r="E45" s="2" t="s">
        <v>18</v>
      </c>
      <c r="F45" s="9">
        <v>37</v>
      </c>
      <c r="G45" s="9">
        <v>637</v>
      </c>
      <c r="H45" s="10">
        <v>11.6</v>
      </c>
      <c r="I45" s="9">
        <v>7394</v>
      </c>
      <c r="J45" s="11">
        <v>1.1000000000000001</v>
      </c>
      <c r="K45" s="11">
        <v>0.5</v>
      </c>
      <c r="L45" s="11">
        <v>0.7</v>
      </c>
      <c r="M45" s="11">
        <v>7.0000000000000007E-2</v>
      </c>
      <c r="N45" s="11">
        <v>0.03</v>
      </c>
      <c r="O45" s="11">
        <v>0.04</v>
      </c>
      <c r="P45" s="10">
        <v>96.9</v>
      </c>
      <c r="Q45" s="10">
        <v>101.6</v>
      </c>
    </row>
    <row r="46" spans="1:17" ht="18" x14ac:dyDescent="0.2">
      <c r="A46" s="20" t="s">
        <v>83</v>
      </c>
      <c r="B46" s="14">
        <v>100000</v>
      </c>
      <c r="C46" s="23">
        <v>9</v>
      </c>
      <c r="D46" t="s">
        <v>213</v>
      </c>
      <c r="E46" s="2" t="s">
        <v>84</v>
      </c>
      <c r="F46" s="9">
        <v>19</v>
      </c>
      <c r="G46" s="9">
        <v>450</v>
      </c>
      <c r="H46" s="10">
        <v>15.7</v>
      </c>
      <c r="I46" s="9">
        <v>7037</v>
      </c>
      <c r="J46" s="11">
        <v>1.4</v>
      </c>
      <c r="K46" s="11">
        <v>0.9</v>
      </c>
      <c r="L46" s="11">
        <v>0.5</v>
      </c>
      <c r="M46" s="11">
        <v>0.13</v>
      </c>
      <c r="N46" s="11">
        <v>0.08</v>
      </c>
      <c r="O46" s="11">
        <v>0.05</v>
      </c>
      <c r="P46" s="10">
        <v>110.5</v>
      </c>
      <c r="Q46" s="10">
        <v>101</v>
      </c>
    </row>
    <row r="47" spans="1:17" ht="18" x14ac:dyDescent="0.2">
      <c r="A47" s="20" t="s">
        <v>47</v>
      </c>
      <c r="B47" s="13">
        <v>196267</v>
      </c>
      <c r="C47" s="23">
        <v>12</v>
      </c>
      <c r="D47" t="s">
        <v>212</v>
      </c>
      <c r="E47" s="2" t="s">
        <v>29</v>
      </c>
      <c r="F47" s="9">
        <v>44</v>
      </c>
      <c r="G47" s="9">
        <v>1368</v>
      </c>
      <c r="H47" s="10">
        <v>15.3</v>
      </c>
      <c r="I47" s="9">
        <v>20967</v>
      </c>
      <c r="J47" s="11">
        <v>3.7</v>
      </c>
      <c r="K47" s="11">
        <v>2.2000000000000002</v>
      </c>
      <c r="L47" s="11">
        <v>1.4</v>
      </c>
      <c r="M47" s="11">
        <v>0.11</v>
      </c>
      <c r="N47" s="11">
        <v>7.0000000000000007E-2</v>
      </c>
      <c r="O47" s="11">
        <v>0.04</v>
      </c>
      <c r="P47" s="10">
        <v>105.5</v>
      </c>
      <c r="Q47" s="10">
        <v>101.9</v>
      </c>
    </row>
    <row r="48" spans="1:17" ht="18" x14ac:dyDescent="0.2">
      <c r="A48" s="20" t="s">
        <v>112</v>
      </c>
      <c r="B48" s="14">
        <v>78831</v>
      </c>
      <c r="C48" s="23">
        <v>10</v>
      </c>
      <c r="D48" t="s">
        <v>215</v>
      </c>
      <c r="E48" s="2" t="s">
        <v>29</v>
      </c>
      <c r="F48" s="9">
        <v>2</v>
      </c>
      <c r="G48" s="9">
        <v>14</v>
      </c>
      <c r="H48" s="10">
        <v>37.6</v>
      </c>
      <c r="I48" s="9">
        <v>524000</v>
      </c>
      <c r="J48" s="11">
        <v>0.1</v>
      </c>
      <c r="K48" s="11">
        <v>0.1</v>
      </c>
      <c r="L48" s="11">
        <v>0</v>
      </c>
      <c r="M48" s="11">
        <v>0.26</v>
      </c>
      <c r="N48" s="11">
        <v>0.27</v>
      </c>
      <c r="O48" s="11">
        <v>-0.01</v>
      </c>
      <c r="P48" s="10">
        <v>127.7</v>
      </c>
      <c r="Q48" s="10">
        <v>111.5</v>
      </c>
    </row>
    <row r="49" spans="1:17" ht="18" x14ac:dyDescent="0.2">
      <c r="A49" s="20" t="s">
        <v>184</v>
      </c>
      <c r="B49" s="14">
        <v>23322</v>
      </c>
      <c r="C49" s="23">
        <v>5</v>
      </c>
      <c r="D49" t="s">
        <v>213</v>
      </c>
      <c r="E49" s="2" t="s">
        <v>29</v>
      </c>
      <c r="F49" s="9">
        <v>14</v>
      </c>
      <c r="G49" s="9">
        <v>154</v>
      </c>
      <c r="H49" s="10">
        <v>14.8</v>
      </c>
      <c r="I49" s="9">
        <v>2279</v>
      </c>
      <c r="J49" s="11">
        <v>0.5</v>
      </c>
      <c r="K49" s="11">
        <v>0.3</v>
      </c>
      <c r="L49" s="11">
        <v>0.2</v>
      </c>
      <c r="M49" s="11">
        <v>0.13</v>
      </c>
      <c r="N49" s="11">
        <v>0.08</v>
      </c>
      <c r="O49" s="11">
        <v>0.05</v>
      </c>
      <c r="P49" s="10">
        <v>109.7</v>
      </c>
      <c r="Q49" s="10">
        <v>99.2</v>
      </c>
    </row>
    <row r="50" spans="1:17" ht="18" x14ac:dyDescent="0.2">
      <c r="A50" s="20" t="s">
        <v>184</v>
      </c>
      <c r="B50" s="15">
        <v>9995</v>
      </c>
      <c r="C50" s="23">
        <v>5</v>
      </c>
      <c r="D50" t="s">
        <v>213</v>
      </c>
      <c r="E50" s="2" t="s">
        <v>29</v>
      </c>
      <c r="F50" s="9">
        <v>14</v>
      </c>
      <c r="G50" s="9">
        <v>154</v>
      </c>
      <c r="H50" s="10">
        <v>14.8</v>
      </c>
      <c r="I50" s="9">
        <v>2279</v>
      </c>
      <c r="J50" s="11">
        <v>0.5</v>
      </c>
      <c r="K50" s="11">
        <v>0.3</v>
      </c>
      <c r="L50" s="11">
        <v>0.2</v>
      </c>
      <c r="M50" s="11">
        <v>0.13</v>
      </c>
      <c r="N50" s="11">
        <v>0.08</v>
      </c>
      <c r="O50" s="11">
        <v>0.05</v>
      </c>
      <c r="P50" s="10">
        <v>109.7</v>
      </c>
      <c r="Q50" s="10">
        <v>99.2</v>
      </c>
    </row>
    <row r="51" spans="1:17" ht="18" x14ac:dyDescent="0.2">
      <c r="A51" s="20" t="s">
        <v>184</v>
      </c>
      <c r="B51" s="15">
        <v>3887</v>
      </c>
      <c r="C51" s="23">
        <v>5</v>
      </c>
      <c r="D51" t="s">
        <v>213</v>
      </c>
      <c r="E51" s="2" t="s">
        <v>29</v>
      </c>
      <c r="F51" s="9">
        <v>14</v>
      </c>
      <c r="G51" s="9">
        <v>154</v>
      </c>
      <c r="H51" s="10">
        <v>14.8</v>
      </c>
      <c r="I51" s="9">
        <v>2279</v>
      </c>
      <c r="J51" s="11">
        <v>0.5</v>
      </c>
      <c r="K51" s="11">
        <v>0.3</v>
      </c>
      <c r="L51" s="11">
        <v>0.2</v>
      </c>
      <c r="M51" s="11">
        <v>0.13</v>
      </c>
      <c r="N51" s="11">
        <v>0.08</v>
      </c>
      <c r="O51" s="11">
        <v>0.05</v>
      </c>
      <c r="P51" s="10">
        <v>109.7</v>
      </c>
      <c r="Q51" s="10">
        <v>99.2</v>
      </c>
    </row>
    <row r="52" spans="1:17" ht="18" x14ac:dyDescent="0.2">
      <c r="A52" s="20" t="s">
        <v>203</v>
      </c>
      <c r="B52" s="15">
        <v>6802</v>
      </c>
      <c r="C52" s="23">
        <v>4</v>
      </c>
      <c r="D52" t="s">
        <v>213</v>
      </c>
      <c r="E52" s="2" t="s">
        <v>190</v>
      </c>
      <c r="F52" s="9">
        <v>4</v>
      </c>
      <c r="G52" s="9">
        <v>45</v>
      </c>
      <c r="H52" s="10">
        <v>9</v>
      </c>
      <c r="I52" s="9">
        <v>400000</v>
      </c>
      <c r="J52" s="11">
        <v>0</v>
      </c>
      <c r="K52" s="11">
        <v>0.1</v>
      </c>
      <c r="L52" s="11">
        <v>0</v>
      </c>
      <c r="M52" s="11">
        <v>0.01</v>
      </c>
      <c r="N52" s="11">
        <v>0.05</v>
      </c>
      <c r="O52" s="11">
        <v>-0.04</v>
      </c>
      <c r="P52" s="10">
        <v>102.3</v>
      </c>
      <c r="Q52" s="10">
        <v>118.2</v>
      </c>
    </row>
    <row r="53" spans="1:17" ht="18" x14ac:dyDescent="0.2">
      <c r="A53" s="20" t="s">
        <v>203</v>
      </c>
      <c r="B53" s="14">
        <v>833</v>
      </c>
      <c r="C53" s="23">
        <v>4</v>
      </c>
      <c r="D53" t="s">
        <v>213</v>
      </c>
      <c r="E53" s="2" t="s">
        <v>190</v>
      </c>
      <c r="F53" s="9">
        <v>4</v>
      </c>
      <c r="G53" s="9">
        <v>45</v>
      </c>
      <c r="H53" s="10">
        <v>9</v>
      </c>
      <c r="I53" s="9">
        <v>400000</v>
      </c>
      <c r="J53" s="11">
        <v>0</v>
      </c>
      <c r="K53" s="11">
        <v>0.1</v>
      </c>
      <c r="L53" s="11">
        <v>0</v>
      </c>
      <c r="M53" s="11">
        <v>0.01</v>
      </c>
      <c r="N53" s="11">
        <v>0.05</v>
      </c>
      <c r="O53" s="11">
        <v>-0.04</v>
      </c>
      <c r="P53" s="10">
        <v>102.3</v>
      </c>
      <c r="Q53" s="10">
        <v>118.2</v>
      </c>
    </row>
    <row r="54" spans="1:17" ht="18" x14ac:dyDescent="0.2">
      <c r="A54" s="20" t="s">
        <v>55</v>
      </c>
      <c r="B54" s="14">
        <v>185000</v>
      </c>
      <c r="C54" s="23">
        <v>15</v>
      </c>
      <c r="D54" t="s">
        <v>212</v>
      </c>
      <c r="E54" s="2" t="s">
        <v>29</v>
      </c>
      <c r="F54" s="9">
        <v>7</v>
      </c>
      <c r="G54" s="9">
        <v>191</v>
      </c>
      <c r="H54" s="10">
        <v>15.4</v>
      </c>
      <c r="I54" s="9">
        <v>2937</v>
      </c>
      <c r="J54" s="11">
        <v>0.3</v>
      </c>
      <c r="K54" s="11">
        <v>0.2</v>
      </c>
      <c r="L54" s="11">
        <v>0.1</v>
      </c>
      <c r="M54" s="11">
        <v>7.0000000000000007E-2</v>
      </c>
      <c r="N54" s="11">
        <v>0.05</v>
      </c>
      <c r="O54" s="11">
        <v>0.02</v>
      </c>
      <c r="P54" s="10">
        <v>101.6</v>
      </c>
      <c r="Q54" s="10">
        <v>106.7</v>
      </c>
    </row>
    <row r="55" spans="1:17" ht="18" x14ac:dyDescent="0.2">
      <c r="A55" s="20" t="s">
        <v>56</v>
      </c>
      <c r="B55" s="13">
        <v>180000</v>
      </c>
      <c r="C55" s="23">
        <v>10</v>
      </c>
      <c r="D55" t="s">
        <v>212</v>
      </c>
      <c r="E55" s="2" t="s">
        <v>29</v>
      </c>
      <c r="F55" s="9">
        <v>44</v>
      </c>
      <c r="G55" s="9">
        <v>1260</v>
      </c>
      <c r="H55" s="10">
        <v>18.100000000000001</v>
      </c>
      <c r="I55" s="9">
        <v>22825</v>
      </c>
      <c r="J55" s="11">
        <v>4.5</v>
      </c>
      <c r="K55" s="11">
        <v>2.5</v>
      </c>
      <c r="L55" s="11">
        <v>2.1</v>
      </c>
      <c r="M55" s="11">
        <v>0.14000000000000001</v>
      </c>
      <c r="N55" s="11">
        <v>0.08</v>
      </c>
      <c r="O55" s="11">
        <v>7.0000000000000007E-2</v>
      </c>
      <c r="P55" s="10">
        <v>104.1</v>
      </c>
      <c r="Q55" s="10">
        <v>97.1</v>
      </c>
    </row>
    <row r="56" spans="1:17" ht="18" x14ac:dyDescent="0.2">
      <c r="A56" s="20" t="s">
        <v>191</v>
      </c>
      <c r="B56" s="15">
        <v>16103</v>
      </c>
      <c r="C56" s="23">
        <v>2</v>
      </c>
      <c r="D56" t="s">
        <v>213</v>
      </c>
      <c r="E56" s="2" t="s">
        <v>29</v>
      </c>
      <c r="F56" s="9">
        <v>4</v>
      </c>
      <c r="G56" s="9">
        <v>24</v>
      </c>
      <c r="H56" s="10">
        <v>6.8</v>
      </c>
      <c r="I56" s="9">
        <v>165000</v>
      </c>
      <c r="J56" s="11">
        <v>0</v>
      </c>
      <c r="K56" s="11">
        <v>0</v>
      </c>
      <c r="L56" s="11">
        <v>0</v>
      </c>
      <c r="M56" s="11">
        <v>0.01</v>
      </c>
      <c r="N56" s="11">
        <v>-0.05</v>
      </c>
      <c r="O56" s="11">
        <v>0.06</v>
      </c>
      <c r="P56" s="10">
        <v>78.2</v>
      </c>
      <c r="Q56" s="10">
        <v>98.4</v>
      </c>
    </row>
    <row r="57" spans="1:17" ht="18" x14ac:dyDescent="0.2">
      <c r="A57" s="20" t="s">
        <v>82</v>
      </c>
      <c r="B57" s="13">
        <v>100000</v>
      </c>
      <c r="C57" s="23">
        <v>11</v>
      </c>
      <c r="D57" t="s">
        <v>212</v>
      </c>
      <c r="E57" s="2" t="s">
        <v>29</v>
      </c>
      <c r="F57" s="9">
        <v>38</v>
      </c>
      <c r="G57" s="9">
        <v>439</v>
      </c>
      <c r="H57" s="10">
        <v>8.6</v>
      </c>
      <c r="I57" s="9">
        <v>3777</v>
      </c>
      <c r="J57" s="11">
        <v>0.4</v>
      </c>
      <c r="K57" s="11">
        <v>0</v>
      </c>
      <c r="L57" s="11">
        <v>0.4</v>
      </c>
      <c r="M57" s="11">
        <v>0.03</v>
      </c>
      <c r="N57" s="11">
        <v>0</v>
      </c>
      <c r="O57" s="11">
        <v>0.03</v>
      </c>
      <c r="P57" s="10">
        <v>92.1</v>
      </c>
      <c r="Q57" s="10">
        <v>103.6</v>
      </c>
    </row>
    <row r="58" spans="1:17" ht="18" x14ac:dyDescent="0.2">
      <c r="A58" s="20" t="s">
        <v>97</v>
      </c>
      <c r="B58" s="13">
        <v>89000</v>
      </c>
      <c r="C58" s="23">
        <v>5</v>
      </c>
      <c r="D58" t="s">
        <v>212</v>
      </c>
      <c r="E58" s="2" t="s">
        <v>35</v>
      </c>
      <c r="F58" s="9">
        <v>44</v>
      </c>
      <c r="G58" s="9">
        <v>777</v>
      </c>
      <c r="H58" s="10">
        <v>11</v>
      </c>
      <c r="I58" s="9">
        <v>8551</v>
      </c>
      <c r="J58" s="11">
        <v>1.1000000000000001</v>
      </c>
      <c r="K58" s="11">
        <v>0.9</v>
      </c>
      <c r="L58" s="11">
        <v>0.3</v>
      </c>
      <c r="M58" s="11">
        <v>0.06</v>
      </c>
      <c r="N58" s="11">
        <v>0.04</v>
      </c>
      <c r="O58" s="11">
        <v>0.01</v>
      </c>
      <c r="P58" s="10">
        <v>101.2</v>
      </c>
      <c r="Q58" s="10">
        <v>107.2</v>
      </c>
    </row>
    <row r="59" spans="1:17" ht="18" x14ac:dyDescent="0.2">
      <c r="A59" s="20" t="s">
        <v>40</v>
      </c>
      <c r="B59" s="13">
        <v>202000</v>
      </c>
      <c r="C59" s="23">
        <v>11</v>
      </c>
      <c r="D59" t="s">
        <v>212</v>
      </c>
      <c r="E59" s="2" t="s">
        <v>18</v>
      </c>
      <c r="F59" s="9">
        <v>44</v>
      </c>
      <c r="G59" s="9">
        <v>1374</v>
      </c>
      <c r="H59" s="10">
        <v>23.7</v>
      </c>
      <c r="I59" s="9">
        <v>32604</v>
      </c>
      <c r="J59" s="11">
        <v>5.5</v>
      </c>
      <c r="K59" s="11">
        <v>4.7</v>
      </c>
      <c r="L59" s="11">
        <v>0.9</v>
      </c>
      <c r="M59" s="11">
        <v>0.16</v>
      </c>
      <c r="N59" s="11">
        <v>0.14000000000000001</v>
      </c>
      <c r="O59" s="11">
        <v>0.03</v>
      </c>
      <c r="P59" s="10">
        <v>113.7</v>
      </c>
      <c r="Q59" s="10">
        <v>105</v>
      </c>
    </row>
    <row r="60" spans="1:17" ht="18" x14ac:dyDescent="0.2">
      <c r="A60" s="20" t="s">
        <v>138</v>
      </c>
      <c r="B60" s="15">
        <v>72269</v>
      </c>
      <c r="C60" s="23">
        <v>17</v>
      </c>
      <c r="D60" t="s">
        <v>215</v>
      </c>
      <c r="E60" s="2" t="s">
        <v>29</v>
      </c>
      <c r="F60" s="9">
        <v>33</v>
      </c>
      <c r="G60" s="9">
        <v>778</v>
      </c>
      <c r="H60" s="10">
        <v>15.2</v>
      </c>
      <c r="I60" s="9">
        <v>11865</v>
      </c>
      <c r="J60" s="11">
        <v>2.6</v>
      </c>
      <c r="K60" s="11">
        <v>1.6</v>
      </c>
      <c r="L60" s="11">
        <v>1</v>
      </c>
      <c r="M60" s="11">
        <v>0.13</v>
      </c>
      <c r="N60" s="11">
        <v>0.08</v>
      </c>
      <c r="O60" s="11">
        <v>0.05</v>
      </c>
      <c r="P60" s="10">
        <v>111.1</v>
      </c>
      <c r="Q60" s="10">
        <v>100.2</v>
      </c>
    </row>
    <row r="61" spans="1:17" ht="18" x14ac:dyDescent="0.2">
      <c r="A61" s="20" t="s">
        <v>138</v>
      </c>
      <c r="B61" s="14">
        <v>63721</v>
      </c>
      <c r="C61" s="23">
        <v>17</v>
      </c>
      <c r="D61" t="s">
        <v>213</v>
      </c>
      <c r="E61" s="2" t="s">
        <v>29</v>
      </c>
      <c r="F61" s="9">
        <v>33</v>
      </c>
      <c r="G61" s="9">
        <v>778</v>
      </c>
      <c r="H61" s="10">
        <v>15.2</v>
      </c>
      <c r="I61" s="9">
        <v>11865</v>
      </c>
      <c r="J61" s="11">
        <v>2.6</v>
      </c>
      <c r="K61" s="11">
        <v>1.6</v>
      </c>
      <c r="L61" s="11">
        <v>1</v>
      </c>
      <c r="M61" s="11">
        <v>0.13</v>
      </c>
      <c r="N61" s="11">
        <v>0.08</v>
      </c>
      <c r="O61" s="11">
        <v>0.05</v>
      </c>
      <c r="P61" s="10">
        <v>111.1</v>
      </c>
      <c r="Q61" s="10">
        <v>100.2</v>
      </c>
    </row>
    <row r="62" spans="1:17" ht="18" x14ac:dyDescent="0.2">
      <c r="A62" s="20" t="s">
        <v>105</v>
      </c>
      <c r="B62" s="14">
        <v>83371</v>
      </c>
      <c r="C62" s="23">
        <v>3</v>
      </c>
      <c r="D62" t="s">
        <v>212</v>
      </c>
      <c r="E62" s="2" t="s">
        <v>18</v>
      </c>
      <c r="F62" s="9">
        <v>40</v>
      </c>
      <c r="G62" s="9">
        <v>434</v>
      </c>
      <c r="H62" s="10">
        <v>8.5</v>
      </c>
      <c r="I62" s="9">
        <v>3694</v>
      </c>
      <c r="J62" s="11">
        <v>0.5</v>
      </c>
      <c r="K62" s="11">
        <v>0.1</v>
      </c>
      <c r="L62" s="11">
        <v>0.4</v>
      </c>
      <c r="M62" s="11">
        <v>0.04</v>
      </c>
      <c r="N62" s="11">
        <v>0.01</v>
      </c>
      <c r="O62" s="11">
        <v>0.03</v>
      </c>
      <c r="P62" s="10">
        <v>94.4</v>
      </c>
      <c r="Q62" s="10">
        <v>103.5</v>
      </c>
    </row>
    <row r="63" spans="1:17" ht="18" x14ac:dyDescent="0.2">
      <c r="A63" s="20" t="s">
        <v>45</v>
      </c>
      <c r="B63" s="13">
        <v>200000</v>
      </c>
      <c r="C63" s="23">
        <v>5</v>
      </c>
      <c r="D63" t="s">
        <v>212</v>
      </c>
      <c r="E63" s="2" t="s">
        <v>35</v>
      </c>
      <c r="F63" s="9">
        <v>31</v>
      </c>
      <c r="G63" s="9">
        <v>680</v>
      </c>
      <c r="H63" s="10">
        <v>12.9</v>
      </c>
      <c r="I63" s="9">
        <v>8768</v>
      </c>
      <c r="J63" s="11">
        <v>0.8</v>
      </c>
      <c r="K63" s="11">
        <v>0.3</v>
      </c>
      <c r="L63" s="11">
        <v>0.5</v>
      </c>
      <c r="M63" s="11">
        <v>0.05</v>
      </c>
      <c r="N63" s="11">
        <v>0.02</v>
      </c>
      <c r="O63" s="11">
        <v>0.03</v>
      </c>
      <c r="P63" s="10">
        <v>95.2</v>
      </c>
      <c r="Q63" s="10">
        <v>103.9</v>
      </c>
    </row>
    <row r="64" spans="1:17" ht="18" x14ac:dyDescent="0.2">
      <c r="A64" s="20" t="s">
        <v>118</v>
      </c>
      <c r="B64" s="14">
        <v>78831</v>
      </c>
      <c r="C64" s="23">
        <v>2</v>
      </c>
      <c r="D64" t="s">
        <v>214</v>
      </c>
      <c r="E64" s="2" t="s">
        <v>25</v>
      </c>
      <c r="F64" s="9">
        <v>42</v>
      </c>
      <c r="G64" s="9">
        <v>600</v>
      </c>
      <c r="H64" s="10">
        <v>20.100000000000001</v>
      </c>
      <c r="I64" s="9">
        <v>12082</v>
      </c>
      <c r="J64" s="11">
        <v>2</v>
      </c>
      <c r="K64" s="11">
        <v>0.9</v>
      </c>
      <c r="L64" s="11">
        <v>1.1000000000000001</v>
      </c>
      <c r="M64" s="11">
        <v>0.13</v>
      </c>
      <c r="N64" s="11">
        <v>0.06</v>
      </c>
      <c r="O64" s="11">
        <v>7.0000000000000007E-2</v>
      </c>
      <c r="P64" s="10">
        <v>102</v>
      </c>
      <c r="Q64" s="10">
        <v>96.2</v>
      </c>
    </row>
    <row r="65" spans="1:17" ht="18" x14ac:dyDescent="0.2">
      <c r="A65" s="20" t="s">
        <v>181</v>
      </c>
      <c r="B65" s="15">
        <v>27940</v>
      </c>
      <c r="C65" s="23">
        <v>1</v>
      </c>
      <c r="D65" t="s">
        <v>213</v>
      </c>
      <c r="E65" s="2" t="s">
        <v>18</v>
      </c>
      <c r="F65" s="9">
        <v>12</v>
      </c>
      <c r="G65" s="9">
        <v>98</v>
      </c>
      <c r="H65" s="10">
        <v>1.2</v>
      </c>
      <c r="I65" s="9">
        <v>115000</v>
      </c>
      <c r="J65" s="11">
        <v>-0.1</v>
      </c>
      <c r="K65" s="11">
        <v>-0.3</v>
      </c>
      <c r="L65" s="11">
        <v>0.1</v>
      </c>
      <c r="M65" s="11">
        <v>-0.06</v>
      </c>
      <c r="N65" s="11">
        <v>-0.12</v>
      </c>
      <c r="O65" s="11">
        <v>0.05</v>
      </c>
      <c r="P65" s="10">
        <v>58.1</v>
      </c>
      <c r="Q65" s="10">
        <v>99.1</v>
      </c>
    </row>
    <row r="66" spans="1:17" ht="18" x14ac:dyDescent="0.2">
      <c r="A66" s="20" t="s">
        <v>181</v>
      </c>
      <c r="B66" s="15">
        <v>3887</v>
      </c>
      <c r="C66" s="23">
        <v>1</v>
      </c>
      <c r="D66" t="s">
        <v>213</v>
      </c>
      <c r="E66" s="2" t="s">
        <v>29</v>
      </c>
      <c r="F66" s="9">
        <v>12</v>
      </c>
      <c r="G66" s="9">
        <v>98</v>
      </c>
      <c r="H66" s="10">
        <v>1.2</v>
      </c>
      <c r="I66" s="9">
        <v>115000</v>
      </c>
      <c r="J66" s="11">
        <v>-0.1</v>
      </c>
      <c r="K66" s="11">
        <v>-0.3</v>
      </c>
      <c r="L66" s="11">
        <v>0.1</v>
      </c>
      <c r="M66" s="11">
        <v>-0.06</v>
      </c>
      <c r="N66" s="11">
        <v>-0.12</v>
      </c>
      <c r="O66" s="11">
        <v>0.05</v>
      </c>
      <c r="P66" s="10">
        <v>58.1</v>
      </c>
      <c r="Q66" s="10">
        <v>99.1</v>
      </c>
    </row>
    <row r="67" spans="1:17" ht="18" x14ac:dyDescent="0.2">
      <c r="A67" s="20" t="s">
        <v>81</v>
      </c>
      <c r="B67" s="14">
        <v>100000</v>
      </c>
      <c r="C67" s="23">
        <v>11</v>
      </c>
      <c r="D67" t="s">
        <v>212</v>
      </c>
      <c r="E67" s="2" t="s">
        <v>29</v>
      </c>
      <c r="F67" s="9">
        <v>43</v>
      </c>
      <c r="G67" s="9">
        <v>906</v>
      </c>
      <c r="H67" s="10">
        <v>17</v>
      </c>
      <c r="I67" s="9">
        <v>15421</v>
      </c>
      <c r="J67" s="11">
        <v>1.7</v>
      </c>
      <c r="K67" s="11">
        <v>1.2</v>
      </c>
      <c r="L67" s="11">
        <v>0.5</v>
      </c>
      <c r="M67" s="11">
        <v>7.0000000000000007E-2</v>
      </c>
      <c r="N67" s="11">
        <v>0.05</v>
      </c>
      <c r="O67" s="11">
        <v>0.02</v>
      </c>
      <c r="P67" s="10">
        <v>102.2</v>
      </c>
      <c r="Q67" s="10">
        <v>105.7</v>
      </c>
    </row>
    <row r="68" spans="1:17" ht="18" x14ac:dyDescent="0.2">
      <c r="A68" s="20" t="s">
        <v>106</v>
      </c>
      <c r="B68" s="14">
        <v>81079</v>
      </c>
      <c r="C68" s="23">
        <v>4</v>
      </c>
      <c r="D68" t="s">
        <v>212</v>
      </c>
      <c r="E68" s="2" t="s">
        <v>54</v>
      </c>
      <c r="F68" s="9">
        <v>40</v>
      </c>
      <c r="G68" s="9">
        <v>512</v>
      </c>
      <c r="H68" s="10">
        <v>14.5</v>
      </c>
      <c r="I68" s="9">
        <v>7442</v>
      </c>
      <c r="J68" s="11">
        <v>1.1000000000000001</v>
      </c>
      <c r="K68" s="11">
        <v>0.2</v>
      </c>
      <c r="L68" s="11">
        <v>0.9</v>
      </c>
      <c r="M68" s="11">
        <v>0.09</v>
      </c>
      <c r="N68" s="11">
        <v>0.02</v>
      </c>
      <c r="O68" s="11">
        <v>7.0000000000000007E-2</v>
      </c>
      <c r="P68" s="10">
        <v>96.3</v>
      </c>
      <c r="Q68" s="10">
        <v>96.5</v>
      </c>
    </row>
    <row r="69" spans="1:17" ht="18" x14ac:dyDescent="0.2">
      <c r="A69" s="20" t="s">
        <v>75</v>
      </c>
      <c r="B69" s="14">
        <v>116331</v>
      </c>
      <c r="C69" s="23">
        <v>5</v>
      </c>
      <c r="D69" t="s">
        <v>212</v>
      </c>
      <c r="E69" s="2" t="s">
        <v>29</v>
      </c>
      <c r="F69" s="9">
        <v>21</v>
      </c>
      <c r="G69" s="9">
        <v>213</v>
      </c>
      <c r="H69" s="10">
        <v>13.6</v>
      </c>
      <c r="I69" s="9">
        <v>2893</v>
      </c>
      <c r="J69" s="11">
        <v>0.4</v>
      </c>
      <c r="K69" s="11">
        <v>0.4</v>
      </c>
      <c r="L69" s="11">
        <v>0.1</v>
      </c>
      <c r="M69" s="11">
        <v>0.08</v>
      </c>
      <c r="N69" s="11">
        <v>7.0000000000000007E-2</v>
      </c>
      <c r="O69" s="11">
        <v>0.01</v>
      </c>
      <c r="P69" s="10">
        <v>107.5</v>
      </c>
      <c r="Q69" s="10">
        <v>107.4</v>
      </c>
    </row>
    <row r="70" spans="1:17" ht="18" x14ac:dyDescent="0.2">
      <c r="A70" s="20" t="s">
        <v>126</v>
      </c>
      <c r="B70" s="14">
        <v>75694</v>
      </c>
      <c r="C70" s="23">
        <v>13</v>
      </c>
      <c r="D70" t="s">
        <v>215</v>
      </c>
      <c r="E70" s="2" t="s">
        <v>29</v>
      </c>
      <c r="F70" s="9">
        <v>17</v>
      </c>
      <c r="G70" s="9">
        <v>440</v>
      </c>
      <c r="H70" s="10">
        <v>23.6</v>
      </c>
      <c r="I70" s="9">
        <v>10358</v>
      </c>
      <c r="J70" s="11">
        <v>2</v>
      </c>
      <c r="K70" s="11">
        <v>1.4</v>
      </c>
      <c r="L70" s="11">
        <v>0.6</v>
      </c>
      <c r="M70" s="11">
        <v>0.18</v>
      </c>
      <c r="N70" s="11">
        <v>0.13</v>
      </c>
      <c r="O70" s="11">
        <v>0.05</v>
      </c>
      <c r="P70" s="10">
        <v>115.1</v>
      </c>
      <c r="Q70" s="10">
        <v>99.9</v>
      </c>
    </row>
    <row r="71" spans="1:17" ht="18" x14ac:dyDescent="0.2">
      <c r="A71" s="20" t="s">
        <v>116</v>
      </c>
      <c r="B71" s="14">
        <v>78831</v>
      </c>
      <c r="C71" s="23">
        <v>11</v>
      </c>
      <c r="D71" t="s">
        <v>215</v>
      </c>
      <c r="E71" s="2" t="s">
        <v>29</v>
      </c>
      <c r="F71" s="9">
        <v>44</v>
      </c>
      <c r="G71" s="9">
        <v>1126</v>
      </c>
      <c r="H71" s="10">
        <v>13.3</v>
      </c>
      <c r="I71" s="9">
        <v>15031</v>
      </c>
      <c r="J71" s="11">
        <v>2.2999999999999998</v>
      </c>
      <c r="K71" s="11">
        <v>1</v>
      </c>
      <c r="L71" s="11">
        <v>1.3</v>
      </c>
      <c r="M71" s="11">
        <v>0.08</v>
      </c>
      <c r="N71" s="11">
        <v>0.04</v>
      </c>
      <c r="O71" s="11">
        <v>0.05</v>
      </c>
      <c r="P71" s="10">
        <v>99.2</v>
      </c>
      <c r="Q71" s="10">
        <v>100.9</v>
      </c>
    </row>
    <row r="72" spans="1:17" ht="18" x14ac:dyDescent="0.2">
      <c r="A72" s="20" t="s">
        <v>53</v>
      </c>
      <c r="B72" s="13">
        <v>186000</v>
      </c>
      <c r="C72" s="23">
        <v>7</v>
      </c>
      <c r="D72" t="s">
        <v>212</v>
      </c>
      <c r="E72" s="2" t="s">
        <v>54</v>
      </c>
      <c r="F72" s="9">
        <v>44</v>
      </c>
      <c r="G72" s="9">
        <v>1203</v>
      </c>
      <c r="H72" s="10">
        <v>15.9</v>
      </c>
      <c r="I72" s="9">
        <v>19090</v>
      </c>
      <c r="J72" s="11">
        <v>4.2</v>
      </c>
      <c r="K72" s="11">
        <v>2.2999999999999998</v>
      </c>
      <c r="L72" s="11">
        <v>1.9</v>
      </c>
      <c r="M72" s="11">
        <v>0.14000000000000001</v>
      </c>
      <c r="N72" s="11">
        <v>0.08</v>
      </c>
      <c r="O72" s="11">
        <v>0.06</v>
      </c>
      <c r="P72" s="10">
        <v>112.9</v>
      </c>
      <c r="Q72" s="10">
        <v>97.5</v>
      </c>
    </row>
    <row r="73" spans="1:17" ht="18" x14ac:dyDescent="0.2">
      <c r="A73" s="20" t="s">
        <v>21</v>
      </c>
      <c r="B73" s="13">
        <v>225000</v>
      </c>
      <c r="C73" s="23">
        <v>8</v>
      </c>
      <c r="D73" t="s">
        <v>211</v>
      </c>
      <c r="E73" s="2" t="s">
        <v>16</v>
      </c>
      <c r="F73" s="9">
        <v>44</v>
      </c>
      <c r="G73" s="9">
        <v>1391</v>
      </c>
      <c r="H73" s="10">
        <v>15.6</v>
      </c>
      <c r="I73" s="9">
        <v>21728</v>
      </c>
      <c r="J73" s="11">
        <v>3.5</v>
      </c>
      <c r="K73" s="11">
        <v>1.3</v>
      </c>
      <c r="L73" s="11">
        <v>2.2000000000000002</v>
      </c>
      <c r="M73" s="11">
        <v>0.1</v>
      </c>
      <c r="N73" s="11">
        <v>0.04</v>
      </c>
      <c r="O73" s="11">
        <v>0.06</v>
      </c>
      <c r="P73" s="10">
        <v>99.6</v>
      </c>
      <c r="Q73" s="10">
        <v>97.3</v>
      </c>
    </row>
    <row r="74" spans="1:17" ht="18" x14ac:dyDescent="0.2">
      <c r="A74" s="20" t="s">
        <v>127</v>
      </c>
      <c r="B74" s="14">
        <v>75643</v>
      </c>
      <c r="C74" s="23">
        <v>1</v>
      </c>
      <c r="D74" t="s">
        <v>214</v>
      </c>
      <c r="E74" s="2" t="s">
        <v>25</v>
      </c>
      <c r="F74" s="9">
        <v>0</v>
      </c>
      <c r="G74" s="9">
        <v>0</v>
      </c>
      <c r="H74" s="10"/>
      <c r="I74" s="9"/>
      <c r="J74" s="11"/>
      <c r="K74" s="11">
        <v>0</v>
      </c>
      <c r="L74" s="11"/>
      <c r="M74" s="11"/>
      <c r="N74" s="11"/>
      <c r="O74" s="11"/>
      <c r="P74" s="10"/>
      <c r="Q74" s="10"/>
    </row>
    <row r="75" spans="1:17" ht="18" x14ac:dyDescent="0.2">
      <c r="A75" s="20" t="s">
        <v>188</v>
      </c>
      <c r="B75" s="14">
        <v>17214</v>
      </c>
      <c r="C75" s="23">
        <v>3</v>
      </c>
      <c r="D75" t="s">
        <v>213</v>
      </c>
      <c r="E75" s="2" t="s">
        <v>29</v>
      </c>
      <c r="F75" s="9">
        <v>19</v>
      </c>
      <c r="G75" s="9">
        <v>418</v>
      </c>
      <c r="H75" s="10">
        <v>6</v>
      </c>
      <c r="I75" s="9">
        <v>2527</v>
      </c>
      <c r="J75" s="11">
        <v>-0.3</v>
      </c>
      <c r="K75" s="11">
        <v>-0.3</v>
      </c>
      <c r="L75" s="11">
        <v>0</v>
      </c>
      <c r="M75" s="11">
        <v>-0.03</v>
      </c>
      <c r="N75" s="11">
        <v>-0.03</v>
      </c>
      <c r="O75" s="11">
        <v>0</v>
      </c>
      <c r="P75" s="10">
        <v>82.1</v>
      </c>
      <c r="Q75" s="10">
        <v>110.3</v>
      </c>
    </row>
    <row r="76" spans="1:17" ht="18" x14ac:dyDescent="0.2">
      <c r="A76" s="20" t="s">
        <v>188</v>
      </c>
      <c r="B76" s="15">
        <v>11661</v>
      </c>
      <c r="C76" s="23">
        <v>3</v>
      </c>
      <c r="D76" t="s">
        <v>213</v>
      </c>
      <c r="E76" s="2" t="s">
        <v>190</v>
      </c>
      <c r="F76" s="9">
        <v>19</v>
      </c>
      <c r="G76" s="9">
        <v>418</v>
      </c>
      <c r="H76" s="10">
        <v>6</v>
      </c>
      <c r="I76" s="9">
        <v>2527</v>
      </c>
      <c r="J76" s="11">
        <v>-0.3</v>
      </c>
      <c r="K76" s="11">
        <v>-0.3</v>
      </c>
      <c r="L76" s="11">
        <v>0</v>
      </c>
      <c r="M76" s="11">
        <v>-0.03</v>
      </c>
      <c r="N76" s="11">
        <v>-0.03</v>
      </c>
      <c r="O76" s="11">
        <v>0</v>
      </c>
      <c r="P76" s="10">
        <v>82.1</v>
      </c>
      <c r="Q76" s="10">
        <v>110.3</v>
      </c>
    </row>
    <row r="77" spans="1:17" ht="18" x14ac:dyDescent="0.2">
      <c r="A77" s="20" t="s">
        <v>188</v>
      </c>
      <c r="B77" s="15">
        <v>1666</v>
      </c>
      <c r="C77" s="23">
        <v>3</v>
      </c>
      <c r="D77" t="s">
        <v>213</v>
      </c>
      <c r="E77" s="2" t="s">
        <v>190</v>
      </c>
      <c r="F77" s="9">
        <v>19</v>
      </c>
      <c r="G77" s="9">
        <v>418</v>
      </c>
      <c r="H77" s="10">
        <v>6</v>
      </c>
      <c r="I77" s="9">
        <v>2527</v>
      </c>
      <c r="J77" s="11">
        <v>-0.3</v>
      </c>
      <c r="K77" s="11">
        <v>-0.3</v>
      </c>
      <c r="L77" s="11">
        <v>0</v>
      </c>
      <c r="M77" s="11">
        <v>-0.03</v>
      </c>
      <c r="N77" s="11">
        <v>-0.03</v>
      </c>
      <c r="O77" s="11">
        <v>0</v>
      </c>
      <c r="P77" s="10">
        <v>82.1</v>
      </c>
      <c r="Q77" s="10">
        <v>110.3</v>
      </c>
    </row>
    <row r="78" spans="1:17" ht="18" x14ac:dyDescent="0.2">
      <c r="A78" s="20" t="s">
        <v>133</v>
      </c>
      <c r="B78" s="14">
        <v>72455</v>
      </c>
      <c r="C78" s="23">
        <v>2</v>
      </c>
      <c r="D78" t="s">
        <v>214</v>
      </c>
      <c r="E78" s="2" t="s">
        <v>25</v>
      </c>
      <c r="F78" s="9">
        <v>29</v>
      </c>
      <c r="G78" s="9">
        <v>361</v>
      </c>
      <c r="H78" s="10">
        <v>5.8</v>
      </c>
      <c r="I78" s="9">
        <v>2085</v>
      </c>
      <c r="J78" s="11">
        <v>-0.5</v>
      </c>
      <c r="K78" s="11">
        <v>-0.5</v>
      </c>
      <c r="L78" s="11">
        <v>0</v>
      </c>
      <c r="M78" s="11">
        <v>-0.06</v>
      </c>
      <c r="N78" s="11">
        <v>-0.06</v>
      </c>
      <c r="O78" s="11">
        <v>0</v>
      </c>
      <c r="P78" s="10">
        <v>80.3</v>
      </c>
      <c r="Q78" s="10">
        <v>110.4</v>
      </c>
    </row>
    <row r="79" spans="1:17" ht="18" x14ac:dyDescent="0.2">
      <c r="A79" s="20" t="s">
        <v>177</v>
      </c>
      <c r="B79" s="14">
        <v>36094</v>
      </c>
      <c r="C79" s="23">
        <v>4</v>
      </c>
      <c r="D79" t="s">
        <v>213</v>
      </c>
      <c r="E79" s="2" t="s">
        <v>29</v>
      </c>
      <c r="F79" s="9">
        <v>28</v>
      </c>
      <c r="G79" s="9">
        <v>594</v>
      </c>
      <c r="H79" s="10">
        <v>11.4</v>
      </c>
      <c r="I79" s="9">
        <v>6789</v>
      </c>
      <c r="J79" s="11">
        <v>0.4</v>
      </c>
      <c r="K79" s="11">
        <v>0</v>
      </c>
      <c r="L79" s="11">
        <v>0.3</v>
      </c>
      <c r="M79" s="11">
        <v>0.03</v>
      </c>
      <c r="N79" s="11">
        <v>0</v>
      </c>
      <c r="O79" s="11">
        <v>0.02</v>
      </c>
      <c r="P79" s="10">
        <v>92.6</v>
      </c>
      <c r="Q79" s="10">
        <v>105.6</v>
      </c>
    </row>
    <row r="80" spans="1:17" ht="18" x14ac:dyDescent="0.2">
      <c r="A80" s="20" t="s">
        <v>177</v>
      </c>
      <c r="B80" s="15">
        <v>5553</v>
      </c>
      <c r="C80" s="23">
        <v>4</v>
      </c>
      <c r="D80" t="s">
        <v>213</v>
      </c>
      <c r="E80" s="2" t="s">
        <v>190</v>
      </c>
      <c r="F80" s="9">
        <v>28</v>
      </c>
      <c r="G80" s="9">
        <v>594</v>
      </c>
      <c r="H80" s="10">
        <v>11.4</v>
      </c>
      <c r="I80" s="9">
        <v>6789</v>
      </c>
      <c r="J80" s="11">
        <v>0.4</v>
      </c>
      <c r="K80" s="11">
        <v>0</v>
      </c>
      <c r="L80" s="11">
        <v>0.3</v>
      </c>
      <c r="M80" s="11">
        <v>0.03</v>
      </c>
      <c r="N80" s="11">
        <v>0</v>
      </c>
      <c r="O80" s="11">
        <v>0.02</v>
      </c>
      <c r="P80" s="10">
        <v>92.6</v>
      </c>
      <c r="Q80" s="10">
        <v>105.6</v>
      </c>
    </row>
    <row r="81" spans="1:17" ht="18" x14ac:dyDescent="0.2">
      <c r="A81" s="20" t="s">
        <v>177</v>
      </c>
      <c r="B81" s="15">
        <v>4998</v>
      </c>
      <c r="C81" s="23">
        <v>4</v>
      </c>
      <c r="D81" t="s">
        <v>213</v>
      </c>
      <c r="E81" s="2" t="s">
        <v>190</v>
      </c>
      <c r="F81" s="9">
        <v>28</v>
      </c>
      <c r="G81" s="9">
        <v>594</v>
      </c>
      <c r="H81" s="10">
        <v>11.4</v>
      </c>
      <c r="I81" s="9">
        <v>6789</v>
      </c>
      <c r="J81" s="11">
        <v>0.4</v>
      </c>
      <c r="K81" s="11">
        <v>0</v>
      </c>
      <c r="L81" s="11">
        <v>0.3</v>
      </c>
      <c r="M81" s="11">
        <v>0.03</v>
      </c>
      <c r="N81" s="11">
        <v>0</v>
      </c>
      <c r="O81" s="11">
        <v>0.02</v>
      </c>
      <c r="P81" s="10">
        <v>92.6</v>
      </c>
      <c r="Q81" s="10">
        <v>105.6</v>
      </c>
    </row>
    <row r="82" spans="1:17" ht="18" x14ac:dyDescent="0.2">
      <c r="A82" s="20" t="s">
        <v>174</v>
      </c>
      <c r="B82" s="15">
        <v>39747</v>
      </c>
      <c r="C82" s="23">
        <v>9</v>
      </c>
      <c r="D82" t="s">
        <v>213</v>
      </c>
      <c r="E82" s="2" t="s">
        <v>29</v>
      </c>
      <c r="F82" s="9">
        <v>33</v>
      </c>
      <c r="G82" s="9">
        <v>380</v>
      </c>
      <c r="H82" s="10">
        <v>5</v>
      </c>
      <c r="I82" s="9">
        <v>1894</v>
      </c>
      <c r="J82" s="11">
        <v>-0.3</v>
      </c>
      <c r="K82" s="11">
        <v>-0.3</v>
      </c>
      <c r="L82" s="11">
        <v>0</v>
      </c>
      <c r="M82" s="11">
        <v>-0.03</v>
      </c>
      <c r="N82" s="11">
        <v>-0.03</v>
      </c>
      <c r="O82" s="11">
        <v>0</v>
      </c>
      <c r="P82" s="10">
        <v>82.4</v>
      </c>
      <c r="Q82" s="10">
        <v>109.3</v>
      </c>
    </row>
    <row r="83" spans="1:17" ht="18" x14ac:dyDescent="0.2">
      <c r="A83" s="20" t="s">
        <v>174</v>
      </c>
      <c r="B83" s="14">
        <v>25173</v>
      </c>
      <c r="C83" s="23">
        <v>9</v>
      </c>
      <c r="D83" t="s">
        <v>213</v>
      </c>
      <c r="E83" s="2" t="s">
        <v>29</v>
      </c>
      <c r="F83" s="9">
        <v>33</v>
      </c>
      <c r="G83" s="9">
        <v>380</v>
      </c>
      <c r="H83" s="10">
        <v>5</v>
      </c>
      <c r="I83" s="9">
        <v>1894</v>
      </c>
      <c r="J83" s="11">
        <v>-0.3</v>
      </c>
      <c r="K83" s="11">
        <v>-0.3</v>
      </c>
      <c r="L83" s="11">
        <v>0</v>
      </c>
      <c r="M83" s="11">
        <v>-0.03</v>
      </c>
      <c r="N83" s="11">
        <v>-0.03</v>
      </c>
      <c r="O83" s="11">
        <v>0</v>
      </c>
      <c r="P83" s="10">
        <v>82.4</v>
      </c>
      <c r="Q83" s="10">
        <v>109.3</v>
      </c>
    </row>
    <row r="84" spans="1:17" ht="18" x14ac:dyDescent="0.2">
      <c r="A84" s="20" t="s">
        <v>174</v>
      </c>
      <c r="B84" s="15">
        <v>13911</v>
      </c>
      <c r="C84" s="23">
        <v>9</v>
      </c>
      <c r="D84" t="s">
        <v>213</v>
      </c>
      <c r="E84" s="2" t="s">
        <v>29</v>
      </c>
      <c r="F84" s="9">
        <v>33</v>
      </c>
      <c r="G84" s="9">
        <v>380</v>
      </c>
      <c r="H84" s="10">
        <v>5</v>
      </c>
      <c r="I84" s="9">
        <v>1894</v>
      </c>
      <c r="J84" s="11">
        <v>-0.3</v>
      </c>
      <c r="K84" s="11">
        <v>-0.3</v>
      </c>
      <c r="L84" s="11">
        <v>0</v>
      </c>
      <c r="M84" s="11">
        <v>-0.03</v>
      </c>
      <c r="N84" s="11">
        <v>-0.03</v>
      </c>
      <c r="O84" s="11">
        <v>0</v>
      </c>
      <c r="P84" s="10">
        <v>82.4</v>
      </c>
      <c r="Q84" s="10">
        <v>109.3</v>
      </c>
    </row>
    <row r="85" spans="1:17" ht="18" x14ac:dyDescent="0.2">
      <c r="A85" s="20" t="s">
        <v>178</v>
      </c>
      <c r="B85" s="14">
        <v>32207</v>
      </c>
      <c r="C85" s="23">
        <v>4</v>
      </c>
      <c r="D85" t="s">
        <v>214</v>
      </c>
      <c r="E85" s="2" t="s">
        <v>25</v>
      </c>
      <c r="F85" s="9">
        <v>21</v>
      </c>
      <c r="G85" s="9">
        <v>486</v>
      </c>
      <c r="H85" s="10">
        <v>16.2</v>
      </c>
      <c r="I85" s="9">
        <v>7892</v>
      </c>
      <c r="J85" s="11">
        <v>1.8</v>
      </c>
      <c r="K85" s="11">
        <v>1.2</v>
      </c>
      <c r="L85" s="11">
        <v>0.6</v>
      </c>
      <c r="M85" s="11">
        <v>0.15</v>
      </c>
      <c r="N85" s="11">
        <v>0.1</v>
      </c>
      <c r="O85" s="11">
        <v>0.05</v>
      </c>
      <c r="P85" s="10">
        <v>116.6</v>
      </c>
      <c r="Q85" s="10">
        <v>100.6</v>
      </c>
    </row>
    <row r="86" spans="1:17" ht="18" x14ac:dyDescent="0.2">
      <c r="A86" s="20" t="s">
        <v>114</v>
      </c>
      <c r="B86" s="14">
        <v>78831</v>
      </c>
      <c r="C86" s="23">
        <v>11</v>
      </c>
      <c r="D86" t="s">
        <v>215</v>
      </c>
      <c r="E86" s="2" t="s">
        <v>29</v>
      </c>
      <c r="F86" s="9">
        <v>34</v>
      </c>
      <c r="G86" s="9">
        <v>360</v>
      </c>
      <c r="H86" s="10">
        <v>17.3</v>
      </c>
      <c r="I86" s="9">
        <v>6240</v>
      </c>
      <c r="J86" s="11">
        <v>1.2</v>
      </c>
      <c r="K86" s="11">
        <v>0.7</v>
      </c>
      <c r="L86" s="11">
        <v>0.5</v>
      </c>
      <c r="M86" s="11">
        <v>0.13</v>
      </c>
      <c r="N86" s="11">
        <v>0.08</v>
      </c>
      <c r="O86" s="11">
        <v>0.06</v>
      </c>
      <c r="P86" s="10">
        <v>105.9</v>
      </c>
      <c r="Q86" s="10">
        <v>98.5</v>
      </c>
    </row>
    <row r="87" spans="1:17" ht="18" x14ac:dyDescent="0.2">
      <c r="A87" s="20" t="s">
        <v>59</v>
      </c>
      <c r="B87" s="13">
        <v>169950</v>
      </c>
      <c r="C87" s="23">
        <v>7</v>
      </c>
      <c r="D87" t="s">
        <v>212</v>
      </c>
      <c r="E87" s="2" t="s">
        <v>18</v>
      </c>
      <c r="F87" s="9">
        <v>44</v>
      </c>
      <c r="G87" s="9">
        <v>1336</v>
      </c>
      <c r="H87" s="10">
        <v>22.1</v>
      </c>
      <c r="I87" s="9">
        <v>29572</v>
      </c>
      <c r="J87" s="11">
        <v>6.3</v>
      </c>
      <c r="K87" s="11">
        <v>5</v>
      </c>
      <c r="L87" s="11">
        <v>1.3</v>
      </c>
      <c r="M87" s="11">
        <v>0.19</v>
      </c>
      <c r="N87" s="11">
        <v>0.15</v>
      </c>
      <c r="O87" s="11">
        <v>0.04</v>
      </c>
      <c r="P87" s="10">
        <v>116.9</v>
      </c>
      <c r="Q87" s="10">
        <v>102.5</v>
      </c>
    </row>
    <row r="88" spans="1:17" ht="18" x14ac:dyDescent="0.2">
      <c r="A88" s="20" t="s">
        <v>131</v>
      </c>
      <c r="B88" s="14">
        <v>74909</v>
      </c>
      <c r="C88" s="23">
        <v>2</v>
      </c>
      <c r="D88" t="s">
        <v>214</v>
      </c>
      <c r="E88" s="2" t="s">
        <v>25</v>
      </c>
      <c r="F88" s="9">
        <v>30</v>
      </c>
      <c r="G88" s="9">
        <v>708</v>
      </c>
      <c r="H88" s="10">
        <v>11.8</v>
      </c>
      <c r="I88" s="9">
        <v>8376</v>
      </c>
      <c r="J88" s="11">
        <v>1</v>
      </c>
      <c r="K88" s="11">
        <v>1.1000000000000001</v>
      </c>
      <c r="L88" s="11">
        <v>-0.1</v>
      </c>
      <c r="M88" s="11">
        <v>0.06</v>
      </c>
      <c r="N88" s="11">
        <v>0.06</v>
      </c>
      <c r="O88" s="11">
        <v>0</v>
      </c>
      <c r="P88" s="10">
        <v>110.2</v>
      </c>
      <c r="Q88" s="10">
        <v>110.9</v>
      </c>
    </row>
    <row r="89" spans="1:17" ht="18" x14ac:dyDescent="0.2">
      <c r="A89" s="20" t="s">
        <v>150</v>
      </c>
      <c r="B89" s="14">
        <v>66710</v>
      </c>
      <c r="C89" s="23">
        <v>2</v>
      </c>
      <c r="D89" t="s">
        <v>214</v>
      </c>
      <c r="E89" s="2" t="s">
        <v>18</v>
      </c>
      <c r="F89" s="9">
        <v>43</v>
      </c>
      <c r="G89" s="9">
        <v>1008</v>
      </c>
      <c r="H89" s="10">
        <v>7.4</v>
      </c>
      <c r="I89" s="9">
        <v>7493</v>
      </c>
      <c r="J89" s="11">
        <v>0.6</v>
      </c>
      <c r="K89" s="11">
        <v>0.1</v>
      </c>
      <c r="L89" s="11">
        <v>0.5</v>
      </c>
      <c r="M89" s="11">
        <v>0.02</v>
      </c>
      <c r="N89" s="11">
        <v>0</v>
      </c>
      <c r="O89" s="11">
        <v>0.02</v>
      </c>
      <c r="P89" s="10">
        <v>92.8</v>
      </c>
      <c r="Q89" s="10">
        <v>106.1</v>
      </c>
    </row>
    <row r="90" spans="1:17" ht="18" x14ac:dyDescent="0.2">
      <c r="A90" s="20" t="s">
        <v>172</v>
      </c>
      <c r="B90" s="15">
        <v>42757</v>
      </c>
      <c r="C90" s="23">
        <v>3</v>
      </c>
      <c r="D90" t="s">
        <v>213</v>
      </c>
      <c r="E90" s="2" t="s">
        <v>29</v>
      </c>
      <c r="F90" s="9">
        <v>10</v>
      </c>
      <c r="G90" s="9">
        <v>131</v>
      </c>
      <c r="H90" s="10">
        <v>6.5</v>
      </c>
      <c r="I90" s="9">
        <v>849000</v>
      </c>
      <c r="J90" s="11">
        <v>-0.1</v>
      </c>
      <c r="K90" s="11">
        <v>0</v>
      </c>
      <c r="L90" s="11">
        <v>-0.1</v>
      </c>
      <c r="M90" s="11">
        <v>-0.03</v>
      </c>
      <c r="N90" s="11">
        <v>-0.01</v>
      </c>
      <c r="O90" s="11">
        <v>-0.02</v>
      </c>
      <c r="P90" s="10">
        <v>88.9</v>
      </c>
      <c r="Q90" s="10">
        <v>114.4</v>
      </c>
    </row>
    <row r="91" spans="1:17" ht="18" x14ac:dyDescent="0.2">
      <c r="A91" s="20" t="s">
        <v>156</v>
      </c>
      <c r="B91" s="14">
        <v>66079</v>
      </c>
      <c r="C91" s="23">
        <v>2</v>
      </c>
      <c r="D91" t="s">
        <v>213</v>
      </c>
      <c r="E91" s="2" t="s">
        <v>157</v>
      </c>
      <c r="F91" s="9">
        <v>36</v>
      </c>
      <c r="G91" s="9">
        <v>973</v>
      </c>
      <c r="H91" s="10">
        <v>12.2</v>
      </c>
      <c r="I91" s="9">
        <v>11866</v>
      </c>
      <c r="J91" s="11">
        <v>1.9</v>
      </c>
      <c r="K91" s="11">
        <v>0.9</v>
      </c>
      <c r="L91" s="11">
        <v>1</v>
      </c>
      <c r="M91" s="11">
        <v>0.08</v>
      </c>
      <c r="N91" s="11">
        <v>0.04</v>
      </c>
      <c r="O91" s="11">
        <v>0.04</v>
      </c>
      <c r="P91" s="10">
        <v>99.3</v>
      </c>
      <c r="Q91" s="10">
        <v>101.7</v>
      </c>
    </row>
    <row r="92" spans="1:17" ht="18" x14ac:dyDescent="0.2">
      <c r="A92" s="20" t="s">
        <v>162</v>
      </c>
      <c r="B92" s="15">
        <v>66079</v>
      </c>
      <c r="C92" s="23">
        <v>3</v>
      </c>
      <c r="D92" t="s">
        <v>214</v>
      </c>
      <c r="E92" s="2" t="s">
        <v>54</v>
      </c>
      <c r="F92" s="9">
        <v>26</v>
      </c>
      <c r="G92" s="9">
        <v>142</v>
      </c>
      <c r="H92" s="10">
        <v>5.4</v>
      </c>
      <c r="I92" s="9">
        <v>774000</v>
      </c>
      <c r="J92" s="11">
        <v>0.1</v>
      </c>
      <c r="K92" s="11">
        <v>-0.1</v>
      </c>
      <c r="L92" s="11">
        <v>0.2</v>
      </c>
      <c r="M92" s="11">
        <v>0.01</v>
      </c>
      <c r="N92" s="11">
        <v>-0.04</v>
      </c>
      <c r="O92" s="11">
        <v>0.06</v>
      </c>
      <c r="P92" s="10">
        <v>80.7</v>
      </c>
      <c r="Q92" s="10">
        <v>99.1</v>
      </c>
    </row>
    <row r="93" spans="1:17" ht="18" x14ac:dyDescent="0.2">
      <c r="A93" s="20" t="s">
        <v>162</v>
      </c>
      <c r="B93" s="14">
        <v>18880</v>
      </c>
      <c r="C93" s="23">
        <v>3</v>
      </c>
      <c r="D93" t="s">
        <v>213</v>
      </c>
      <c r="E93" s="2" t="s">
        <v>29</v>
      </c>
      <c r="F93" s="9">
        <v>26</v>
      </c>
      <c r="G93" s="9">
        <v>142</v>
      </c>
      <c r="H93" s="10">
        <v>5.4</v>
      </c>
      <c r="I93" s="9">
        <v>774000</v>
      </c>
      <c r="J93" s="11">
        <v>0.1</v>
      </c>
      <c r="K93" s="11">
        <v>-0.1</v>
      </c>
      <c r="L93" s="11">
        <v>0.2</v>
      </c>
      <c r="M93" s="11">
        <v>0.01</v>
      </c>
      <c r="N93" s="11">
        <v>-0.04</v>
      </c>
      <c r="O93" s="11">
        <v>0.06</v>
      </c>
      <c r="P93" s="10">
        <v>80.7</v>
      </c>
      <c r="Q93" s="10">
        <v>99.1</v>
      </c>
    </row>
    <row r="94" spans="1:17" ht="18" x14ac:dyDescent="0.2">
      <c r="A94" s="20" t="s">
        <v>117</v>
      </c>
      <c r="B94" s="14">
        <v>78831</v>
      </c>
      <c r="C94" s="23">
        <v>7</v>
      </c>
      <c r="D94" t="s">
        <v>213</v>
      </c>
      <c r="E94" s="2" t="s">
        <v>84</v>
      </c>
      <c r="F94" s="9">
        <v>40</v>
      </c>
      <c r="G94" s="9">
        <v>835</v>
      </c>
      <c r="H94" s="10">
        <v>20.9</v>
      </c>
      <c r="I94" s="9">
        <v>17469</v>
      </c>
      <c r="J94" s="11">
        <v>4.2</v>
      </c>
      <c r="K94" s="11">
        <v>2.8</v>
      </c>
      <c r="L94" s="11">
        <v>1.4</v>
      </c>
      <c r="M94" s="11">
        <v>0.2</v>
      </c>
      <c r="N94" s="11">
        <v>0.14000000000000001</v>
      </c>
      <c r="O94" s="11">
        <v>7.0000000000000007E-2</v>
      </c>
      <c r="P94" s="10">
        <v>121.6</v>
      </c>
      <c r="Q94" s="10">
        <v>96.8</v>
      </c>
    </row>
    <row r="95" spans="1:17" ht="18" x14ac:dyDescent="0.2">
      <c r="A95" s="20" t="s">
        <v>19</v>
      </c>
      <c r="B95" s="13">
        <v>249032</v>
      </c>
      <c r="C95" s="23">
        <v>11</v>
      </c>
      <c r="D95" t="s">
        <v>211</v>
      </c>
      <c r="E95" s="2" t="s">
        <v>16</v>
      </c>
      <c r="F95" s="9">
        <v>44</v>
      </c>
      <c r="G95" s="9">
        <v>1245</v>
      </c>
      <c r="H95" s="10">
        <v>13.4</v>
      </c>
      <c r="I95" s="9">
        <v>16739</v>
      </c>
      <c r="J95" s="11">
        <v>2.9</v>
      </c>
      <c r="K95" s="11">
        <v>2</v>
      </c>
      <c r="L95" s="11">
        <v>1</v>
      </c>
      <c r="M95" s="11">
        <v>0.09</v>
      </c>
      <c r="N95" s="11">
        <v>0.06</v>
      </c>
      <c r="O95" s="11">
        <v>0.03</v>
      </c>
      <c r="P95" s="10">
        <v>106.5</v>
      </c>
      <c r="Q95" s="10">
        <v>104</v>
      </c>
    </row>
    <row r="96" spans="1:17" ht="18" x14ac:dyDescent="0.2">
      <c r="A96" s="20" t="s">
        <v>161</v>
      </c>
      <c r="B96" s="14">
        <v>66079</v>
      </c>
      <c r="C96" s="23">
        <v>3</v>
      </c>
      <c r="D96" t="s">
        <v>214</v>
      </c>
      <c r="E96" s="2" t="s">
        <v>25</v>
      </c>
      <c r="F96" s="9">
        <v>34</v>
      </c>
      <c r="G96" s="9">
        <v>539</v>
      </c>
      <c r="H96" s="10">
        <v>13.1</v>
      </c>
      <c r="I96" s="9">
        <v>7072</v>
      </c>
      <c r="J96" s="11">
        <v>0.7</v>
      </c>
      <c r="K96" s="11">
        <v>0.5</v>
      </c>
      <c r="L96" s="11">
        <v>0.2</v>
      </c>
      <c r="M96" s="11">
        <v>0.05</v>
      </c>
      <c r="N96" s="11">
        <v>0.04</v>
      </c>
      <c r="O96" s="11">
        <v>0.01</v>
      </c>
      <c r="P96" s="10">
        <v>98.9</v>
      </c>
      <c r="Q96" s="10">
        <v>107.5</v>
      </c>
    </row>
    <row r="97" spans="1:17" ht="18" x14ac:dyDescent="0.2">
      <c r="A97" s="20" t="s">
        <v>36</v>
      </c>
      <c r="B97" s="13">
        <v>209000</v>
      </c>
      <c r="C97" s="23">
        <v>10</v>
      </c>
      <c r="D97" t="s">
        <v>212</v>
      </c>
      <c r="E97" s="2" t="s">
        <v>29</v>
      </c>
      <c r="F97" s="9">
        <v>31</v>
      </c>
      <c r="G97" s="9">
        <v>830</v>
      </c>
      <c r="H97" s="10">
        <v>20.399999999999999</v>
      </c>
      <c r="I97" s="9">
        <v>16905</v>
      </c>
      <c r="J97" s="11">
        <v>3.4</v>
      </c>
      <c r="K97" s="11">
        <v>2.2000000000000002</v>
      </c>
      <c r="L97" s="11">
        <v>1.3</v>
      </c>
      <c r="M97" s="11">
        <v>0.17</v>
      </c>
      <c r="N97" s="11">
        <v>0.1</v>
      </c>
      <c r="O97" s="11">
        <v>0.06</v>
      </c>
      <c r="P97" s="10">
        <v>110.8</v>
      </c>
      <c r="Q97" s="10">
        <v>97.9</v>
      </c>
    </row>
    <row r="98" spans="1:17" ht="18" x14ac:dyDescent="0.2">
      <c r="A98" s="20" t="s">
        <v>51</v>
      </c>
      <c r="B98" s="13">
        <v>190000</v>
      </c>
      <c r="C98" s="23">
        <v>8</v>
      </c>
      <c r="D98" t="s">
        <v>212</v>
      </c>
      <c r="E98" s="2" t="s">
        <v>29</v>
      </c>
      <c r="F98" s="9">
        <v>28</v>
      </c>
      <c r="G98" s="9">
        <v>783</v>
      </c>
      <c r="H98" s="10">
        <v>16.5</v>
      </c>
      <c r="I98" s="9">
        <v>12900</v>
      </c>
      <c r="J98" s="11">
        <v>2.7</v>
      </c>
      <c r="K98" s="11">
        <v>1.3</v>
      </c>
      <c r="L98" s="11">
        <v>1.4</v>
      </c>
      <c r="M98" s="11">
        <v>0.14000000000000001</v>
      </c>
      <c r="N98" s="11">
        <v>7.0000000000000007E-2</v>
      </c>
      <c r="O98" s="11">
        <v>7.0000000000000007E-2</v>
      </c>
      <c r="P98" s="10">
        <v>104</v>
      </c>
      <c r="Q98" s="10">
        <v>96.4</v>
      </c>
    </row>
    <row r="99" spans="1:17" ht="18" x14ac:dyDescent="0.2">
      <c r="A99" s="20" t="s">
        <v>187</v>
      </c>
      <c r="B99" s="15">
        <v>17223</v>
      </c>
      <c r="C99" s="23">
        <v>6</v>
      </c>
      <c r="D99" t="s">
        <v>213</v>
      </c>
      <c r="E99" s="2" t="s">
        <v>29</v>
      </c>
      <c r="F99" s="9">
        <v>6</v>
      </c>
      <c r="G99" s="9">
        <v>29</v>
      </c>
      <c r="H99" s="10">
        <v>-3.7</v>
      </c>
      <c r="I99" s="9">
        <v>-107</v>
      </c>
      <c r="J99" s="11">
        <v>-0.1</v>
      </c>
      <c r="K99" s="11">
        <v>-0.1</v>
      </c>
      <c r="L99" s="11">
        <v>0</v>
      </c>
      <c r="M99" s="11">
        <v>-0.15</v>
      </c>
      <c r="N99" s="11">
        <v>-0.16</v>
      </c>
      <c r="O99" s="11">
        <v>0.02</v>
      </c>
      <c r="P99" s="10">
        <v>60</v>
      </c>
      <c r="Q99" s="10">
        <v>106.9</v>
      </c>
    </row>
    <row r="100" spans="1:17" ht="18" x14ac:dyDescent="0.2">
      <c r="A100" s="20" t="s">
        <v>101</v>
      </c>
      <c r="B100" s="14">
        <v>85000</v>
      </c>
      <c r="C100" s="23">
        <v>6</v>
      </c>
      <c r="D100" t="s">
        <v>213</v>
      </c>
      <c r="E100" s="2" t="s">
        <v>84</v>
      </c>
      <c r="F100" s="9">
        <v>34</v>
      </c>
      <c r="G100" s="9">
        <v>963</v>
      </c>
      <c r="H100" s="10">
        <v>11.4</v>
      </c>
      <c r="I100" s="9">
        <v>10962</v>
      </c>
      <c r="J100" s="11">
        <v>1.6</v>
      </c>
      <c r="K100" s="11">
        <v>1.3</v>
      </c>
      <c r="L100" s="11">
        <v>0.3</v>
      </c>
      <c r="M100" s="11">
        <v>7.0000000000000007E-2</v>
      </c>
      <c r="N100" s="11">
        <v>0.05</v>
      </c>
      <c r="O100" s="11">
        <v>0.01</v>
      </c>
      <c r="P100" s="10">
        <v>110.3</v>
      </c>
      <c r="Q100" s="10">
        <v>107.8</v>
      </c>
    </row>
    <row r="101" spans="1:17" ht="18" x14ac:dyDescent="0.2">
      <c r="A101" s="20" t="s">
        <v>159</v>
      </c>
      <c r="B101" s="14">
        <v>66079</v>
      </c>
      <c r="C101" s="23">
        <v>4</v>
      </c>
      <c r="D101" t="s">
        <v>214</v>
      </c>
      <c r="E101" s="2" t="s">
        <v>25</v>
      </c>
      <c r="F101" s="9">
        <v>35</v>
      </c>
      <c r="G101" s="9">
        <v>449</v>
      </c>
      <c r="H101" s="10">
        <v>3.7</v>
      </c>
      <c r="I101" s="9">
        <v>1646</v>
      </c>
      <c r="J101" s="11">
        <v>-0.6</v>
      </c>
      <c r="K101" s="11">
        <v>-0.6</v>
      </c>
      <c r="L101" s="11">
        <v>0</v>
      </c>
      <c r="M101" s="11">
        <v>-0.05</v>
      </c>
      <c r="N101" s="11">
        <v>-0.05</v>
      </c>
      <c r="O101" s="11">
        <v>0</v>
      </c>
      <c r="P101" s="10">
        <v>79.2</v>
      </c>
      <c r="Q101" s="10">
        <v>109.7</v>
      </c>
    </row>
    <row r="102" spans="1:17" ht="18" x14ac:dyDescent="0.2">
      <c r="A102" s="20" t="s">
        <v>20</v>
      </c>
      <c r="B102" s="13">
        <v>248134</v>
      </c>
      <c r="C102" s="23">
        <v>10</v>
      </c>
      <c r="D102" t="s">
        <v>211</v>
      </c>
      <c r="E102" s="2" t="s">
        <v>16</v>
      </c>
      <c r="F102" s="9">
        <v>28</v>
      </c>
      <c r="G102" s="9">
        <v>752</v>
      </c>
      <c r="H102" s="10">
        <v>14.7</v>
      </c>
      <c r="I102" s="9">
        <v>11094</v>
      </c>
      <c r="J102" s="11">
        <v>1.5</v>
      </c>
      <c r="K102" s="11">
        <v>0.8</v>
      </c>
      <c r="L102" s="11">
        <v>0.8</v>
      </c>
      <c r="M102" s="11">
        <v>0.08</v>
      </c>
      <c r="N102" s="11">
        <v>0.04</v>
      </c>
      <c r="O102" s="11">
        <v>0.04</v>
      </c>
      <c r="P102" s="10">
        <v>98.4</v>
      </c>
      <c r="Q102" s="10">
        <v>101.8</v>
      </c>
    </row>
    <row r="103" spans="1:17" ht="18" x14ac:dyDescent="0.2">
      <c r="A103" s="20" t="s">
        <v>185</v>
      </c>
      <c r="B103" s="15">
        <v>21198</v>
      </c>
      <c r="C103" s="23">
        <v>7</v>
      </c>
      <c r="D103" t="s">
        <v>213</v>
      </c>
      <c r="E103" s="2" t="s">
        <v>29</v>
      </c>
      <c r="F103" s="9">
        <v>35</v>
      </c>
      <c r="G103" s="9">
        <v>616</v>
      </c>
      <c r="H103" s="10">
        <v>14</v>
      </c>
      <c r="I103" s="9">
        <v>8608</v>
      </c>
      <c r="J103" s="11">
        <v>1.6</v>
      </c>
      <c r="K103" s="11">
        <v>0.8</v>
      </c>
      <c r="L103" s="11">
        <v>0.8</v>
      </c>
      <c r="M103" s="11">
        <v>0.11</v>
      </c>
      <c r="N103" s="11">
        <v>0.05</v>
      </c>
      <c r="O103" s="11">
        <v>0.05</v>
      </c>
      <c r="P103" s="10">
        <v>104.4</v>
      </c>
      <c r="Q103" s="10">
        <v>100</v>
      </c>
    </row>
    <row r="104" spans="1:17" ht="18" x14ac:dyDescent="0.2">
      <c r="A104" s="20" t="s">
        <v>185</v>
      </c>
      <c r="B104" s="14">
        <v>13911</v>
      </c>
      <c r="C104" s="23">
        <v>7</v>
      </c>
      <c r="D104" t="s">
        <v>213</v>
      </c>
      <c r="E104" s="2" t="s">
        <v>29</v>
      </c>
      <c r="F104" s="9">
        <v>35</v>
      </c>
      <c r="G104" s="9">
        <v>616</v>
      </c>
      <c r="H104" s="10">
        <v>14</v>
      </c>
      <c r="I104" s="9">
        <v>8608</v>
      </c>
      <c r="J104" s="11">
        <v>1.6</v>
      </c>
      <c r="K104" s="11">
        <v>0.8</v>
      </c>
      <c r="L104" s="11">
        <v>0.8</v>
      </c>
      <c r="M104" s="11">
        <v>0.11</v>
      </c>
      <c r="N104" s="11">
        <v>0.05</v>
      </c>
      <c r="O104" s="11">
        <v>0.05</v>
      </c>
      <c r="P104" s="10">
        <v>104.4</v>
      </c>
      <c r="Q104" s="10">
        <v>100</v>
      </c>
    </row>
    <row r="105" spans="1:17" ht="18" x14ac:dyDescent="0.2">
      <c r="A105" s="20" t="s">
        <v>185</v>
      </c>
      <c r="B105" s="15">
        <v>13911</v>
      </c>
      <c r="C105" s="23">
        <v>7</v>
      </c>
      <c r="D105" t="s">
        <v>213</v>
      </c>
      <c r="E105" s="2" t="s">
        <v>29</v>
      </c>
      <c r="F105" s="9">
        <v>35</v>
      </c>
      <c r="G105" s="9">
        <v>616</v>
      </c>
      <c r="H105" s="10">
        <v>14</v>
      </c>
      <c r="I105" s="9">
        <v>8608</v>
      </c>
      <c r="J105" s="11">
        <v>1.6</v>
      </c>
      <c r="K105" s="11">
        <v>0.8</v>
      </c>
      <c r="L105" s="11">
        <v>0.8</v>
      </c>
      <c r="M105" s="11">
        <v>0.11</v>
      </c>
      <c r="N105" s="11">
        <v>0.05</v>
      </c>
      <c r="O105" s="11">
        <v>0.05</v>
      </c>
      <c r="P105" s="10">
        <v>104.4</v>
      </c>
      <c r="Q105" s="10">
        <v>100</v>
      </c>
    </row>
    <row r="106" spans="1:17" ht="18" x14ac:dyDescent="0.2">
      <c r="A106" s="20" t="s">
        <v>185</v>
      </c>
      <c r="B106" s="15">
        <v>6956</v>
      </c>
      <c r="C106" s="23">
        <v>7</v>
      </c>
      <c r="D106" t="s">
        <v>213</v>
      </c>
      <c r="E106" s="2" t="s">
        <v>190</v>
      </c>
      <c r="F106" s="9">
        <v>35</v>
      </c>
      <c r="G106" s="9">
        <v>616</v>
      </c>
      <c r="H106" s="10">
        <v>14</v>
      </c>
      <c r="I106" s="9">
        <v>8608</v>
      </c>
      <c r="J106" s="11">
        <v>1.6</v>
      </c>
      <c r="K106" s="11">
        <v>0.8</v>
      </c>
      <c r="L106" s="11">
        <v>0.8</v>
      </c>
      <c r="M106" s="11">
        <v>0.11</v>
      </c>
      <c r="N106" s="11">
        <v>0.05</v>
      </c>
      <c r="O106" s="11">
        <v>0.05</v>
      </c>
      <c r="P106" s="10">
        <v>104.4</v>
      </c>
      <c r="Q106" s="10">
        <v>100</v>
      </c>
    </row>
    <row r="107" spans="1:17" ht="18" x14ac:dyDescent="0.2">
      <c r="A107" s="20" t="s">
        <v>170</v>
      </c>
      <c r="B107" s="14">
        <v>49420</v>
      </c>
      <c r="C107" s="23">
        <v>2</v>
      </c>
      <c r="D107" t="s">
        <v>213</v>
      </c>
      <c r="E107" s="2" t="s">
        <v>29</v>
      </c>
      <c r="F107" s="9">
        <v>24</v>
      </c>
      <c r="G107" s="9">
        <v>247</v>
      </c>
      <c r="H107" s="10">
        <v>4.8</v>
      </c>
      <c r="I107" s="9">
        <v>1184</v>
      </c>
      <c r="J107" s="11">
        <v>0</v>
      </c>
      <c r="K107" s="11">
        <v>-0.2</v>
      </c>
      <c r="L107" s="11">
        <v>0.2</v>
      </c>
      <c r="M107" s="11">
        <v>0.01</v>
      </c>
      <c r="N107" s="11">
        <v>-0.02</v>
      </c>
      <c r="O107" s="11">
        <v>0.03</v>
      </c>
      <c r="P107" s="10">
        <v>84.8</v>
      </c>
      <c r="Q107" s="10">
        <v>104</v>
      </c>
    </row>
    <row r="108" spans="1:17" ht="18" x14ac:dyDescent="0.2">
      <c r="A108" s="20" t="s">
        <v>69</v>
      </c>
      <c r="B108" s="13">
        <v>128750</v>
      </c>
      <c r="C108" s="23">
        <v>7</v>
      </c>
      <c r="D108" t="s">
        <v>212</v>
      </c>
      <c r="E108" s="2" t="s">
        <v>29</v>
      </c>
      <c r="F108" s="9">
        <v>29</v>
      </c>
      <c r="G108" s="9">
        <v>370</v>
      </c>
      <c r="H108" s="10">
        <v>18.600000000000001</v>
      </c>
      <c r="I108" s="9">
        <v>6903</v>
      </c>
      <c r="J108" s="11">
        <v>1.6</v>
      </c>
      <c r="K108" s="11">
        <v>1</v>
      </c>
      <c r="L108" s="11">
        <v>0.6</v>
      </c>
      <c r="M108" s="11">
        <v>0.17</v>
      </c>
      <c r="N108" s="11">
        <v>0.11</v>
      </c>
      <c r="O108" s="11">
        <v>0.06</v>
      </c>
      <c r="P108" s="10">
        <v>119</v>
      </c>
      <c r="Q108" s="10">
        <v>97.5</v>
      </c>
    </row>
    <row r="109" spans="1:17" ht="18" x14ac:dyDescent="0.2">
      <c r="A109" s="20" t="s">
        <v>201</v>
      </c>
      <c r="B109" s="15">
        <v>7774</v>
      </c>
      <c r="C109" s="23">
        <v>1</v>
      </c>
      <c r="D109" t="s">
        <v>213</v>
      </c>
      <c r="E109" s="2" t="s">
        <v>29</v>
      </c>
      <c r="F109" s="9">
        <v>3</v>
      </c>
      <c r="G109" s="9">
        <v>3000</v>
      </c>
      <c r="H109" s="10">
        <v>0</v>
      </c>
      <c r="I109" s="9">
        <v>0</v>
      </c>
      <c r="J109" s="11">
        <v>0</v>
      </c>
      <c r="K109" s="11">
        <v>0</v>
      </c>
      <c r="L109" s="11">
        <v>0</v>
      </c>
      <c r="M109" s="11">
        <v>0.05</v>
      </c>
      <c r="N109" s="11">
        <v>0</v>
      </c>
      <c r="O109" s="11">
        <v>0.05</v>
      </c>
      <c r="P109" s="10"/>
      <c r="Q109" s="10">
        <v>100.7</v>
      </c>
    </row>
    <row r="110" spans="1:17" ht="18" x14ac:dyDescent="0.2">
      <c r="A110" s="20" t="s">
        <v>124</v>
      </c>
      <c r="B110" s="14">
        <v>78066</v>
      </c>
      <c r="C110" s="23">
        <v>2</v>
      </c>
      <c r="D110" t="s">
        <v>214</v>
      </c>
      <c r="E110" s="2" t="s">
        <v>25</v>
      </c>
      <c r="F110" s="9">
        <v>40</v>
      </c>
      <c r="G110" s="9">
        <v>1102</v>
      </c>
      <c r="H110" s="10">
        <v>19.600000000000001</v>
      </c>
      <c r="I110" s="9">
        <v>21647</v>
      </c>
      <c r="J110" s="11">
        <v>2.8</v>
      </c>
      <c r="K110" s="11">
        <v>2.4</v>
      </c>
      <c r="L110" s="11">
        <v>0.4</v>
      </c>
      <c r="M110" s="11">
        <v>0.1</v>
      </c>
      <c r="N110" s="11">
        <v>0.09</v>
      </c>
      <c r="O110" s="11">
        <v>0.01</v>
      </c>
      <c r="P110" s="10">
        <v>107</v>
      </c>
      <c r="Q110" s="10">
        <v>107.2</v>
      </c>
    </row>
    <row r="111" spans="1:17" ht="18" x14ac:dyDescent="0.2">
      <c r="A111" s="20" t="s">
        <v>182</v>
      </c>
      <c r="B111" s="15">
        <v>27764</v>
      </c>
      <c r="C111" s="23">
        <v>2</v>
      </c>
      <c r="D111" t="s">
        <v>213</v>
      </c>
      <c r="E111" s="2" t="s">
        <v>29</v>
      </c>
      <c r="F111" s="9">
        <v>13</v>
      </c>
      <c r="G111" s="9">
        <v>103</v>
      </c>
      <c r="H111" s="10">
        <v>5.7</v>
      </c>
      <c r="I111" s="9">
        <v>589000</v>
      </c>
      <c r="J111" s="11">
        <v>-0.1</v>
      </c>
      <c r="K111" s="11">
        <v>-0.1</v>
      </c>
      <c r="L111" s="11">
        <v>0</v>
      </c>
      <c r="M111" s="11">
        <v>-0.03</v>
      </c>
      <c r="N111" s="11">
        <v>-0.03</v>
      </c>
      <c r="O111" s="11">
        <v>-0.01</v>
      </c>
      <c r="P111" s="10">
        <v>84.4</v>
      </c>
      <c r="Q111" s="10">
        <v>111.4</v>
      </c>
    </row>
    <row r="112" spans="1:17" ht="18" x14ac:dyDescent="0.2">
      <c r="A112" s="20" t="s">
        <v>74</v>
      </c>
      <c r="B112" s="15">
        <v>118450</v>
      </c>
      <c r="C112" s="23">
        <v>9</v>
      </c>
      <c r="D112" t="s">
        <v>212</v>
      </c>
      <c r="E112" s="2" t="s">
        <v>29</v>
      </c>
      <c r="F112" s="9">
        <v>16</v>
      </c>
      <c r="G112" s="9">
        <v>228</v>
      </c>
      <c r="H112" s="10">
        <v>6.7</v>
      </c>
      <c r="I112" s="9">
        <v>1526</v>
      </c>
      <c r="J112" s="11">
        <v>0.5</v>
      </c>
      <c r="K112" s="11">
        <v>0.2</v>
      </c>
      <c r="L112" s="11">
        <v>0.3</v>
      </c>
      <c r="M112" s="11">
        <v>0.09</v>
      </c>
      <c r="N112" s="11">
        <v>0.04</v>
      </c>
      <c r="O112" s="11">
        <v>0.05</v>
      </c>
      <c r="P112" s="10">
        <v>104.4</v>
      </c>
      <c r="Q112" s="10">
        <v>100</v>
      </c>
    </row>
    <row r="113" spans="1:17" ht="18" x14ac:dyDescent="0.2">
      <c r="A113" s="20" t="s">
        <v>147</v>
      </c>
      <c r="B113" s="14">
        <v>68595</v>
      </c>
      <c r="C113" s="23">
        <v>2</v>
      </c>
      <c r="D113" t="s">
        <v>214</v>
      </c>
      <c r="E113" s="2" t="s">
        <v>25</v>
      </c>
      <c r="F113" s="9">
        <v>42</v>
      </c>
      <c r="G113" s="9">
        <v>687</v>
      </c>
      <c r="H113" s="10">
        <v>9.5</v>
      </c>
      <c r="I113" s="9">
        <v>6526</v>
      </c>
      <c r="J113" s="11">
        <v>0.9</v>
      </c>
      <c r="K113" s="11">
        <v>0.1</v>
      </c>
      <c r="L113" s="11">
        <v>0.8</v>
      </c>
      <c r="M113" s="11">
        <v>0.05</v>
      </c>
      <c r="N113" s="11">
        <v>0</v>
      </c>
      <c r="O113" s="11">
        <v>0.05</v>
      </c>
      <c r="P113" s="10">
        <v>92.8</v>
      </c>
      <c r="Q113" s="10">
        <v>100.7</v>
      </c>
    </row>
    <row r="114" spans="1:17" ht="18" x14ac:dyDescent="0.2">
      <c r="A114" s="20" t="s">
        <v>155</v>
      </c>
      <c r="B114" s="14">
        <v>66079</v>
      </c>
      <c r="C114" s="23">
        <v>4</v>
      </c>
      <c r="D114" t="s">
        <v>215</v>
      </c>
      <c r="E114" s="2" t="s">
        <v>29</v>
      </c>
      <c r="F114" s="9">
        <v>43</v>
      </c>
      <c r="G114" s="9">
        <v>792</v>
      </c>
      <c r="H114" s="10">
        <v>10.5</v>
      </c>
      <c r="I114" s="9">
        <v>8289</v>
      </c>
      <c r="J114" s="11">
        <v>1.6</v>
      </c>
      <c r="K114" s="11">
        <v>0.5</v>
      </c>
      <c r="L114" s="11">
        <v>1</v>
      </c>
      <c r="M114" s="11">
        <v>0.08</v>
      </c>
      <c r="N114" s="11">
        <v>0.03</v>
      </c>
      <c r="O114" s="11">
        <v>0.05</v>
      </c>
      <c r="P114" s="10">
        <v>100</v>
      </c>
      <c r="Q114" s="10">
        <v>99.7</v>
      </c>
    </row>
    <row r="115" spans="1:17" ht="18" x14ac:dyDescent="0.2">
      <c r="A115" s="20" t="s">
        <v>88</v>
      </c>
      <c r="B115" s="15">
        <v>95835</v>
      </c>
      <c r="C115" s="23">
        <v>7</v>
      </c>
      <c r="D115" t="s">
        <v>212</v>
      </c>
      <c r="E115" s="2" t="s">
        <v>29</v>
      </c>
      <c r="F115" s="9">
        <v>0</v>
      </c>
      <c r="G115" s="9">
        <v>0</v>
      </c>
      <c r="H115" s="10"/>
      <c r="I115" s="9"/>
      <c r="J115" s="11"/>
      <c r="K115" s="11">
        <v>0</v>
      </c>
      <c r="L115" s="11"/>
      <c r="M115" s="11"/>
      <c r="N115" s="11"/>
      <c r="O115" s="11"/>
      <c r="P115" s="10"/>
      <c r="Q115" s="10"/>
    </row>
    <row r="116" spans="1:17" ht="18" x14ac:dyDescent="0.2">
      <c r="A116" s="20" t="s">
        <v>88</v>
      </c>
      <c r="B116" s="14">
        <v>90000</v>
      </c>
      <c r="C116" s="23">
        <v>7</v>
      </c>
      <c r="D116" t="s">
        <v>212</v>
      </c>
      <c r="E116" s="2" t="s">
        <v>29</v>
      </c>
      <c r="F116" s="9">
        <v>0</v>
      </c>
      <c r="G116" s="9">
        <v>0</v>
      </c>
      <c r="H116" s="10"/>
      <c r="I116" s="9"/>
      <c r="J116" s="11"/>
      <c r="K116" s="11">
        <v>0</v>
      </c>
      <c r="L116" s="11"/>
      <c r="M116" s="11"/>
      <c r="N116" s="11"/>
      <c r="O116" s="11"/>
      <c r="P116" s="10"/>
      <c r="Q116" s="10"/>
    </row>
    <row r="117" spans="1:17" ht="18" x14ac:dyDescent="0.2">
      <c r="A117" s="20" t="s">
        <v>38</v>
      </c>
      <c r="B117" s="13">
        <v>205000</v>
      </c>
      <c r="C117" s="23">
        <v>12</v>
      </c>
      <c r="D117" t="s">
        <v>212</v>
      </c>
      <c r="E117" s="2" t="s">
        <v>29</v>
      </c>
      <c r="F117" s="9">
        <v>39</v>
      </c>
      <c r="G117" s="9">
        <v>1220</v>
      </c>
      <c r="H117" s="10">
        <v>16.100000000000001</v>
      </c>
      <c r="I117" s="9">
        <v>19646</v>
      </c>
      <c r="J117" s="11">
        <v>4.5</v>
      </c>
      <c r="K117" s="11">
        <v>3.1</v>
      </c>
      <c r="L117" s="11">
        <v>1.4</v>
      </c>
      <c r="M117" s="11">
        <v>0.15</v>
      </c>
      <c r="N117" s="11">
        <v>0.1</v>
      </c>
      <c r="O117" s="11">
        <v>0.05</v>
      </c>
      <c r="P117" s="10">
        <v>113.3</v>
      </c>
      <c r="Q117" s="10">
        <v>101.2</v>
      </c>
    </row>
    <row r="118" spans="1:17" ht="18" x14ac:dyDescent="0.2">
      <c r="A118" s="20" t="s">
        <v>68</v>
      </c>
      <c r="B118" s="13">
        <v>132000</v>
      </c>
      <c r="C118" s="23">
        <v>10</v>
      </c>
      <c r="D118" t="s">
        <v>212</v>
      </c>
      <c r="E118" s="2" t="s">
        <v>18</v>
      </c>
      <c r="F118" s="9">
        <v>22</v>
      </c>
      <c r="G118" s="9">
        <v>662</v>
      </c>
      <c r="H118" s="10">
        <v>15.1</v>
      </c>
      <c r="I118" s="9">
        <v>10006</v>
      </c>
      <c r="J118" s="11">
        <v>1.9</v>
      </c>
      <c r="K118" s="11">
        <v>0.8</v>
      </c>
      <c r="L118" s="11">
        <v>1.1000000000000001</v>
      </c>
      <c r="M118" s="11">
        <v>0.11</v>
      </c>
      <c r="N118" s="11">
        <v>0.05</v>
      </c>
      <c r="O118" s="11">
        <v>7.0000000000000007E-2</v>
      </c>
      <c r="P118" s="10">
        <v>100.5</v>
      </c>
      <c r="Q118" s="10">
        <v>97</v>
      </c>
    </row>
    <row r="119" spans="1:17" ht="18" x14ac:dyDescent="0.2">
      <c r="A119" s="20" t="s">
        <v>15</v>
      </c>
      <c r="B119" s="13">
        <v>269244</v>
      </c>
      <c r="C119" s="23">
        <v>8</v>
      </c>
      <c r="D119" t="s">
        <v>210</v>
      </c>
      <c r="E119" s="2" t="s">
        <v>16</v>
      </c>
      <c r="F119" s="9">
        <v>44</v>
      </c>
      <c r="G119" s="9">
        <v>1381</v>
      </c>
      <c r="H119" s="10">
        <v>20</v>
      </c>
      <c r="I119" s="9">
        <v>27655</v>
      </c>
      <c r="J119" s="11">
        <v>5.6</v>
      </c>
      <c r="K119" s="11">
        <v>4.8</v>
      </c>
      <c r="L119" s="11">
        <v>0.8</v>
      </c>
      <c r="M119" s="11">
        <v>0.16</v>
      </c>
      <c r="N119" s="11">
        <v>0.14000000000000001</v>
      </c>
      <c r="O119" s="11">
        <v>0.02</v>
      </c>
      <c r="P119" s="10">
        <v>114</v>
      </c>
      <c r="Q119" s="10">
        <v>105.4</v>
      </c>
    </row>
    <row r="120" spans="1:17" ht="18" x14ac:dyDescent="0.2">
      <c r="A120" s="20" t="s">
        <v>41</v>
      </c>
      <c r="B120" s="13">
        <v>202000</v>
      </c>
      <c r="C120" s="23">
        <v>9</v>
      </c>
      <c r="D120" t="s">
        <v>212</v>
      </c>
      <c r="E120" s="2" t="s">
        <v>16</v>
      </c>
      <c r="F120" s="9">
        <v>43</v>
      </c>
      <c r="G120" s="9">
        <v>1508</v>
      </c>
      <c r="H120" s="10">
        <v>18.100000000000001</v>
      </c>
      <c r="I120" s="9">
        <v>27311</v>
      </c>
      <c r="J120" s="11">
        <v>4.5</v>
      </c>
      <c r="K120" s="11">
        <v>4.5999999999999996</v>
      </c>
      <c r="L120" s="11">
        <v>-0.1</v>
      </c>
      <c r="M120" s="11">
        <v>0.12</v>
      </c>
      <c r="N120" s="11">
        <v>0.12</v>
      </c>
      <c r="O120" s="11">
        <v>0</v>
      </c>
      <c r="P120" s="10">
        <v>111.4</v>
      </c>
      <c r="Q120" s="10">
        <v>110.5</v>
      </c>
    </row>
    <row r="121" spans="1:17" ht="18" x14ac:dyDescent="0.2">
      <c r="A121" s="20" t="s">
        <v>115</v>
      </c>
      <c r="B121" s="14">
        <v>78831</v>
      </c>
      <c r="C121" s="23">
        <v>6</v>
      </c>
      <c r="D121" t="s">
        <v>215</v>
      </c>
      <c r="E121" s="2" t="s">
        <v>29</v>
      </c>
      <c r="F121" s="9">
        <v>36</v>
      </c>
      <c r="G121" s="9">
        <v>779</v>
      </c>
      <c r="H121" s="10">
        <v>13.9</v>
      </c>
      <c r="I121" s="9">
        <v>10868</v>
      </c>
      <c r="J121" s="11">
        <v>2.1</v>
      </c>
      <c r="K121" s="11">
        <v>1.4</v>
      </c>
      <c r="L121" s="11">
        <v>0.7</v>
      </c>
      <c r="M121" s="11">
        <v>0.11</v>
      </c>
      <c r="N121" s="11">
        <v>7.0000000000000007E-2</v>
      </c>
      <c r="O121" s="11">
        <v>0.04</v>
      </c>
      <c r="P121" s="10">
        <v>110.4</v>
      </c>
      <c r="Q121" s="10">
        <v>103.1</v>
      </c>
    </row>
    <row r="122" spans="1:17" ht="18" x14ac:dyDescent="0.2">
      <c r="A122" s="20" t="s">
        <v>65</v>
      </c>
      <c r="B122" s="14">
        <v>145000</v>
      </c>
      <c r="C122" s="23">
        <v>8</v>
      </c>
      <c r="D122" t="s">
        <v>212</v>
      </c>
      <c r="E122" s="2" t="s">
        <v>29</v>
      </c>
      <c r="F122" s="9">
        <v>44</v>
      </c>
      <c r="G122" s="9">
        <v>962</v>
      </c>
      <c r="H122" s="10">
        <v>7.3</v>
      </c>
      <c r="I122" s="9">
        <v>7004</v>
      </c>
      <c r="J122" s="11">
        <v>0</v>
      </c>
      <c r="K122" s="11">
        <v>0.3</v>
      </c>
      <c r="L122" s="11">
        <v>-0.3</v>
      </c>
      <c r="M122" s="11">
        <v>0</v>
      </c>
      <c r="N122" s="11">
        <v>0.01</v>
      </c>
      <c r="O122" s="11">
        <v>-0.01</v>
      </c>
      <c r="P122" s="10">
        <v>95.2</v>
      </c>
      <c r="Q122" s="10">
        <v>112.5</v>
      </c>
    </row>
    <row r="123" spans="1:17" ht="18" x14ac:dyDescent="0.2">
      <c r="A123" s="20" t="s">
        <v>79</v>
      </c>
      <c r="B123" s="14">
        <v>103000</v>
      </c>
      <c r="C123" s="23">
        <v>10</v>
      </c>
      <c r="D123" t="s">
        <v>212</v>
      </c>
      <c r="E123" s="2" t="s">
        <v>29</v>
      </c>
      <c r="F123" s="9">
        <v>40</v>
      </c>
      <c r="G123" s="9">
        <v>514</v>
      </c>
      <c r="H123" s="10">
        <v>7</v>
      </c>
      <c r="I123" s="9">
        <v>3587</v>
      </c>
      <c r="J123" s="11">
        <v>0.7</v>
      </c>
      <c r="K123" s="11">
        <v>0</v>
      </c>
      <c r="L123" s="11">
        <v>0.7</v>
      </c>
      <c r="M123" s="11">
        <v>0.06</v>
      </c>
      <c r="N123" s="11">
        <v>0</v>
      </c>
      <c r="O123" s="11">
        <v>0.06</v>
      </c>
      <c r="P123" s="10">
        <v>91.8</v>
      </c>
      <c r="Q123" s="10">
        <v>98.9</v>
      </c>
    </row>
    <row r="124" spans="1:17" ht="18" x14ac:dyDescent="0.2">
      <c r="A124" s="20" t="s">
        <v>195</v>
      </c>
      <c r="B124" s="14">
        <v>12772</v>
      </c>
      <c r="C124" s="23">
        <v>5</v>
      </c>
      <c r="D124" t="s">
        <v>213</v>
      </c>
      <c r="E124" s="2" t="s">
        <v>29</v>
      </c>
      <c r="F124" s="9">
        <v>11</v>
      </c>
      <c r="G124" s="9">
        <v>107</v>
      </c>
      <c r="H124" s="10">
        <v>12.1</v>
      </c>
      <c r="I124" s="9">
        <v>1293</v>
      </c>
      <c r="J124" s="11">
        <v>0.1</v>
      </c>
      <c r="K124" s="11">
        <v>0.1</v>
      </c>
      <c r="L124" s="11">
        <v>0.1</v>
      </c>
      <c r="M124" s="11">
        <v>0.05</v>
      </c>
      <c r="N124" s="11">
        <v>0.03</v>
      </c>
      <c r="O124" s="11">
        <v>0.02</v>
      </c>
      <c r="P124" s="10">
        <v>98.6</v>
      </c>
      <c r="Q124" s="10">
        <v>105.7</v>
      </c>
    </row>
    <row r="125" spans="1:17" ht="18" x14ac:dyDescent="0.2">
      <c r="A125" s="20" t="s">
        <v>195</v>
      </c>
      <c r="B125" s="15">
        <v>11661</v>
      </c>
      <c r="C125" s="23">
        <v>5</v>
      </c>
      <c r="D125" t="s">
        <v>213</v>
      </c>
      <c r="E125" s="2" t="s">
        <v>29</v>
      </c>
      <c r="F125" s="9">
        <v>11</v>
      </c>
      <c r="G125" s="9">
        <v>107</v>
      </c>
      <c r="H125" s="10">
        <v>12.1</v>
      </c>
      <c r="I125" s="9">
        <v>1293</v>
      </c>
      <c r="J125" s="11">
        <v>0.1</v>
      </c>
      <c r="K125" s="11">
        <v>0.1</v>
      </c>
      <c r="L125" s="11">
        <v>0.1</v>
      </c>
      <c r="M125" s="11">
        <v>0.05</v>
      </c>
      <c r="N125" s="11">
        <v>0.03</v>
      </c>
      <c r="O125" s="11">
        <v>0.02</v>
      </c>
      <c r="P125" s="10">
        <v>98.6</v>
      </c>
      <c r="Q125" s="10">
        <v>105.7</v>
      </c>
    </row>
    <row r="126" spans="1:17" ht="18" x14ac:dyDescent="0.2">
      <c r="A126" s="20" t="s">
        <v>195</v>
      </c>
      <c r="B126" s="15">
        <v>9440</v>
      </c>
      <c r="C126" s="23">
        <v>5</v>
      </c>
      <c r="D126" t="s">
        <v>213</v>
      </c>
      <c r="E126" s="2" t="s">
        <v>29</v>
      </c>
      <c r="F126" s="9">
        <v>11</v>
      </c>
      <c r="G126" s="9">
        <v>107</v>
      </c>
      <c r="H126" s="10">
        <v>12.1</v>
      </c>
      <c r="I126" s="9">
        <v>1293</v>
      </c>
      <c r="J126" s="11">
        <v>0.1</v>
      </c>
      <c r="K126" s="11">
        <v>0.1</v>
      </c>
      <c r="L126" s="11">
        <v>0.1</v>
      </c>
      <c r="M126" s="11">
        <v>0.05</v>
      </c>
      <c r="N126" s="11">
        <v>0.03</v>
      </c>
      <c r="O126" s="11">
        <v>0.02</v>
      </c>
      <c r="P126" s="10">
        <v>98.6</v>
      </c>
      <c r="Q126" s="10">
        <v>105.7</v>
      </c>
    </row>
    <row r="127" spans="1:17" ht="18" x14ac:dyDescent="0.2">
      <c r="A127" s="20" t="s">
        <v>102</v>
      </c>
      <c r="B127" s="13">
        <v>84543</v>
      </c>
      <c r="C127" s="23">
        <v>4</v>
      </c>
      <c r="D127" t="s">
        <v>214</v>
      </c>
      <c r="E127" s="2" t="s">
        <v>25</v>
      </c>
      <c r="F127" s="9">
        <v>35</v>
      </c>
      <c r="G127" s="9">
        <v>427</v>
      </c>
      <c r="H127" s="10">
        <v>10.5</v>
      </c>
      <c r="I127" s="9">
        <v>4487</v>
      </c>
      <c r="J127" s="11">
        <v>0.5</v>
      </c>
      <c r="K127" s="11">
        <v>0.1</v>
      </c>
      <c r="L127" s="11">
        <v>0.4</v>
      </c>
      <c r="M127" s="11">
        <v>0.05</v>
      </c>
      <c r="N127" s="11">
        <v>0.01</v>
      </c>
      <c r="O127" s="11">
        <v>0.03</v>
      </c>
      <c r="P127" s="10">
        <v>94.9</v>
      </c>
      <c r="Q127" s="10">
        <v>103.3</v>
      </c>
    </row>
    <row r="128" spans="1:17" ht="18" x14ac:dyDescent="0.2">
      <c r="A128" s="20" t="s">
        <v>119</v>
      </c>
      <c r="B128" s="14">
        <v>78831</v>
      </c>
      <c r="C128" s="23">
        <v>1</v>
      </c>
      <c r="D128" t="s">
        <v>214</v>
      </c>
      <c r="E128" s="2" t="s">
        <v>25</v>
      </c>
      <c r="F128" s="9">
        <v>44</v>
      </c>
      <c r="G128" s="9">
        <v>1185</v>
      </c>
      <c r="H128" s="10">
        <v>17.3</v>
      </c>
      <c r="I128" s="9">
        <v>20530</v>
      </c>
      <c r="J128" s="11">
        <v>3.3</v>
      </c>
      <c r="K128" s="11">
        <v>2.1</v>
      </c>
      <c r="L128" s="11">
        <v>1.2</v>
      </c>
      <c r="M128" s="11">
        <v>0.11</v>
      </c>
      <c r="N128" s="11">
        <v>7.0000000000000007E-2</v>
      </c>
      <c r="O128" s="11">
        <v>0.04</v>
      </c>
      <c r="P128" s="10">
        <v>103.8</v>
      </c>
      <c r="Q128" s="10">
        <v>101.9</v>
      </c>
    </row>
    <row r="129" spans="1:17" ht="18" x14ac:dyDescent="0.2">
      <c r="A129" s="20" t="s">
        <v>110</v>
      </c>
      <c r="B129" s="13">
        <v>80000</v>
      </c>
      <c r="C129" s="23">
        <v>7</v>
      </c>
      <c r="D129" t="s">
        <v>212</v>
      </c>
      <c r="E129" s="2" t="s">
        <v>29</v>
      </c>
      <c r="F129" s="9">
        <v>33</v>
      </c>
      <c r="G129" s="9">
        <v>626</v>
      </c>
      <c r="H129" s="10">
        <v>7.6</v>
      </c>
      <c r="I129" s="9">
        <v>4744</v>
      </c>
      <c r="J129" s="11">
        <v>0.8</v>
      </c>
      <c r="K129" s="11">
        <v>0.4</v>
      </c>
      <c r="L129" s="11">
        <v>0.4</v>
      </c>
      <c r="M129" s="11">
        <v>0.05</v>
      </c>
      <c r="N129" s="11">
        <v>0.03</v>
      </c>
      <c r="O129" s="11">
        <v>0.02</v>
      </c>
      <c r="P129" s="10">
        <v>99.3</v>
      </c>
      <c r="Q129" s="10">
        <v>105.6</v>
      </c>
    </row>
    <row r="130" spans="1:17" ht="18" x14ac:dyDescent="0.2">
      <c r="A130" s="20" t="s">
        <v>192</v>
      </c>
      <c r="B130" s="15">
        <v>14437</v>
      </c>
      <c r="C130" s="23">
        <v>2</v>
      </c>
      <c r="D130" t="s">
        <v>213</v>
      </c>
      <c r="E130" s="2" t="s">
        <v>157</v>
      </c>
      <c r="F130" s="9">
        <v>4</v>
      </c>
      <c r="G130" s="9">
        <v>27</v>
      </c>
      <c r="H130" s="10">
        <v>4.8</v>
      </c>
      <c r="I130" s="9">
        <v>128000</v>
      </c>
      <c r="J130" s="11">
        <v>0</v>
      </c>
      <c r="K130" s="11">
        <v>0</v>
      </c>
      <c r="L130" s="11">
        <v>0.1</v>
      </c>
      <c r="M130" s="11">
        <v>0.02</v>
      </c>
      <c r="N130" s="11">
        <v>-7.0000000000000007E-2</v>
      </c>
      <c r="O130" s="11">
        <v>0.09</v>
      </c>
      <c r="P130" s="10">
        <v>68.3</v>
      </c>
      <c r="Q130" s="10">
        <v>92.9</v>
      </c>
    </row>
    <row r="131" spans="1:17" ht="18" x14ac:dyDescent="0.2">
      <c r="A131" s="20" t="s">
        <v>206</v>
      </c>
      <c r="B131" s="15">
        <v>3887</v>
      </c>
      <c r="C131" s="23">
        <v>1</v>
      </c>
      <c r="D131" t="s">
        <v>213</v>
      </c>
      <c r="E131" s="2" t="s">
        <v>190</v>
      </c>
      <c r="F131" s="9">
        <v>1</v>
      </c>
      <c r="G131" s="9">
        <v>0</v>
      </c>
      <c r="H131" s="10">
        <v>0</v>
      </c>
      <c r="I131" s="9">
        <v>0</v>
      </c>
      <c r="J131" s="11">
        <v>0</v>
      </c>
      <c r="K131" s="11">
        <v>0</v>
      </c>
      <c r="L131" s="11">
        <v>0</v>
      </c>
      <c r="M131" s="11">
        <v>-0.02</v>
      </c>
      <c r="N131" s="11">
        <v>0</v>
      </c>
      <c r="O131" s="11">
        <v>-0.02</v>
      </c>
      <c r="P131" s="10"/>
      <c r="Q131" s="10">
        <v>113.5</v>
      </c>
    </row>
    <row r="132" spans="1:17" ht="18" x14ac:dyDescent="0.2">
      <c r="A132" s="20" t="s">
        <v>168</v>
      </c>
      <c r="B132" s="14">
        <v>53307</v>
      </c>
      <c r="C132" s="23">
        <v>5</v>
      </c>
      <c r="D132" t="s">
        <v>213</v>
      </c>
      <c r="E132" s="2" t="s">
        <v>29</v>
      </c>
      <c r="F132" s="9">
        <v>29</v>
      </c>
      <c r="G132" s="9">
        <v>384</v>
      </c>
      <c r="H132" s="10">
        <v>18.3</v>
      </c>
      <c r="I132" s="9">
        <v>7020</v>
      </c>
      <c r="J132" s="11">
        <v>1.5</v>
      </c>
      <c r="K132" s="11">
        <v>0.7</v>
      </c>
      <c r="L132" s="11">
        <v>0.9</v>
      </c>
      <c r="M132" s="11">
        <v>0.16</v>
      </c>
      <c r="N132" s="11">
        <v>7.0000000000000007E-2</v>
      </c>
      <c r="O132" s="11">
        <v>0.09</v>
      </c>
      <c r="P132" s="10">
        <v>105.1</v>
      </c>
      <c r="Q132" s="10">
        <v>92.4</v>
      </c>
    </row>
    <row r="133" spans="1:17" ht="18" x14ac:dyDescent="0.2">
      <c r="A133" s="20" t="s">
        <v>137</v>
      </c>
      <c r="B133" s="14">
        <v>72455</v>
      </c>
      <c r="C133" s="23">
        <v>2</v>
      </c>
      <c r="D133" t="s">
        <v>214</v>
      </c>
      <c r="E133" s="2" t="s">
        <v>18</v>
      </c>
      <c r="F133" s="9">
        <v>25</v>
      </c>
      <c r="G133" s="9">
        <v>665</v>
      </c>
      <c r="H133" s="10">
        <v>15.8</v>
      </c>
      <c r="I133" s="9">
        <v>10504</v>
      </c>
      <c r="J133" s="11">
        <v>1.6</v>
      </c>
      <c r="K133" s="11">
        <v>1</v>
      </c>
      <c r="L133" s="11">
        <v>0.6</v>
      </c>
      <c r="M133" s="11">
        <v>0.1</v>
      </c>
      <c r="N133" s="11">
        <v>0.06</v>
      </c>
      <c r="O133" s="11">
        <v>0.03</v>
      </c>
      <c r="P133" s="10">
        <v>105.2</v>
      </c>
      <c r="Q133" s="10">
        <v>103.3</v>
      </c>
    </row>
    <row r="134" spans="1:17" ht="18" x14ac:dyDescent="0.2">
      <c r="A134" s="20" t="s">
        <v>148</v>
      </c>
      <c r="B134" s="14">
        <v>68595</v>
      </c>
      <c r="C134" s="23">
        <v>3</v>
      </c>
      <c r="D134" t="s">
        <v>214</v>
      </c>
      <c r="E134" s="2" t="s">
        <v>18</v>
      </c>
      <c r="F134" s="9">
        <v>37</v>
      </c>
      <c r="G134" s="9">
        <v>1041</v>
      </c>
      <c r="H134" s="10">
        <v>12.2</v>
      </c>
      <c r="I134" s="9">
        <v>12656</v>
      </c>
      <c r="J134" s="11">
        <v>3.1</v>
      </c>
      <c r="K134" s="11">
        <v>1.9</v>
      </c>
      <c r="L134" s="11">
        <v>1.2</v>
      </c>
      <c r="M134" s="11">
        <v>0.12</v>
      </c>
      <c r="N134" s="11">
        <v>7.0000000000000007E-2</v>
      </c>
      <c r="O134" s="11">
        <v>0.05</v>
      </c>
      <c r="P134" s="10">
        <v>115.1</v>
      </c>
      <c r="Q134" s="10">
        <v>101.2</v>
      </c>
    </row>
    <row r="135" spans="1:17" ht="18" x14ac:dyDescent="0.2">
      <c r="A135" s="20" t="s">
        <v>152</v>
      </c>
      <c r="B135" s="14">
        <v>66079</v>
      </c>
      <c r="C135" s="23">
        <v>2</v>
      </c>
      <c r="D135" t="s">
        <v>214</v>
      </c>
      <c r="E135" s="2" t="s">
        <v>29</v>
      </c>
      <c r="F135" s="9">
        <v>32</v>
      </c>
      <c r="G135" s="9">
        <v>471</v>
      </c>
      <c r="H135" s="10">
        <v>10</v>
      </c>
      <c r="I135" s="9">
        <v>4685</v>
      </c>
      <c r="J135" s="11">
        <v>0.6</v>
      </c>
      <c r="K135" s="11">
        <v>0.1</v>
      </c>
      <c r="L135" s="11">
        <v>0.5</v>
      </c>
      <c r="M135" s="11">
        <v>0.05</v>
      </c>
      <c r="N135" s="11">
        <v>0.01</v>
      </c>
      <c r="O135" s="11">
        <v>0.04</v>
      </c>
      <c r="P135" s="10">
        <v>93.8</v>
      </c>
      <c r="Q135" s="10">
        <v>102.1</v>
      </c>
    </row>
    <row r="136" spans="1:17" ht="18" x14ac:dyDescent="0.2">
      <c r="A136" s="20" t="s">
        <v>87</v>
      </c>
      <c r="B136" s="13">
        <v>96408</v>
      </c>
      <c r="C136" s="23">
        <v>8</v>
      </c>
      <c r="D136" t="s">
        <v>212</v>
      </c>
      <c r="E136" s="2" t="s">
        <v>29</v>
      </c>
      <c r="F136" s="9">
        <v>24</v>
      </c>
      <c r="G136" s="9">
        <v>227</v>
      </c>
      <c r="H136" s="10">
        <v>8.5</v>
      </c>
      <c r="I136" s="9">
        <v>1929</v>
      </c>
      <c r="J136" s="11">
        <v>0.4</v>
      </c>
      <c r="K136" s="11">
        <v>0.2</v>
      </c>
      <c r="L136" s="11">
        <v>0.2</v>
      </c>
      <c r="M136" s="11">
        <v>7.0000000000000007E-2</v>
      </c>
      <c r="N136" s="11">
        <v>0.03</v>
      </c>
      <c r="O136" s="11">
        <v>0.04</v>
      </c>
      <c r="P136" s="10">
        <v>103.1</v>
      </c>
      <c r="Q136" s="10">
        <v>103</v>
      </c>
    </row>
    <row r="137" spans="1:17" ht="18" x14ac:dyDescent="0.2">
      <c r="A137" s="20" t="s">
        <v>98</v>
      </c>
      <c r="B137" s="13">
        <v>88261</v>
      </c>
      <c r="C137" s="23">
        <v>4</v>
      </c>
      <c r="D137" t="s">
        <v>214</v>
      </c>
      <c r="E137" s="2" t="s">
        <v>25</v>
      </c>
      <c r="F137" s="9">
        <v>44</v>
      </c>
      <c r="G137" s="9">
        <v>1189</v>
      </c>
      <c r="H137" s="10">
        <v>10.4</v>
      </c>
      <c r="I137" s="9">
        <v>12374</v>
      </c>
      <c r="J137" s="11">
        <v>2.7</v>
      </c>
      <c r="K137" s="11">
        <v>1.4</v>
      </c>
      <c r="L137" s="11">
        <v>1.2</v>
      </c>
      <c r="M137" s="11">
        <v>0.09</v>
      </c>
      <c r="N137" s="11">
        <v>0.05</v>
      </c>
      <c r="O137" s="11">
        <v>0.04</v>
      </c>
      <c r="P137" s="10">
        <v>106.4</v>
      </c>
      <c r="Q137" s="10">
        <v>101.7</v>
      </c>
    </row>
    <row r="138" spans="1:17" ht="18" x14ac:dyDescent="0.2">
      <c r="A138" s="20" t="s">
        <v>165</v>
      </c>
      <c r="B138" s="14">
        <v>66079</v>
      </c>
      <c r="C138" s="23">
        <v>5</v>
      </c>
      <c r="D138" t="s">
        <v>215</v>
      </c>
      <c r="E138" s="2" t="s">
        <v>18</v>
      </c>
      <c r="F138" s="9">
        <v>31</v>
      </c>
      <c r="G138" s="9">
        <v>520</v>
      </c>
      <c r="H138" s="10">
        <v>13.4</v>
      </c>
      <c r="I138" s="9">
        <v>6947</v>
      </c>
      <c r="J138" s="11">
        <v>1.1000000000000001</v>
      </c>
      <c r="K138" s="11">
        <v>0.9</v>
      </c>
      <c r="L138" s="11">
        <v>0.2</v>
      </c>
      <c r="M138" s="11">
        <v>0.08</v>
      </c>
      <c r="N138" s="11">
        <v>7.0000000000000007E-2</v>
      </c>
      <c r="O138" s="11">
        <v>0.02</v>
      </c>
      <c r="P138" s="10">
        <v>107.3</v>
      </c>
      <c r="Q138" s="10">
        <v>106.5</v>
      </c>
    </row>
    <row r="139" spans="1:17" ht="18" x14ac:dyDescent="0.2">
      <c r="A139" s="20" t="s">
        <v>189</v>
      </c>
      <c r="B139" s="15">
        <v>16659</v>
      </c>
      <c r="C139" s="23">
        <v>3</v>
      </c>
      <c r="D139" t="s">
        <v>213</v>
      </c>
      <c r="E139" s="2" t="s">
        <v>190</v>
      </c>
      <c r="F139" s="9">
        <v>14</v>
      </c>
      <c r="G139" s="9">
        <v>136</v>
      </c>
      <c r="H139" s="10">
        <v>8.4</v>
      </c>
      <c r="I139" s="9">
        <v>1137</v>
      </c>
      <c r="J139" s="11">
        <v>0.1</v>
      </c>
      <c r="K139" s="11">
        <v>0.1</v>
      </c>
      <c r="L139" s="11">
        <v>0</v>
      </c>
      <c r="M139" s="11">
        <v>0.02</v>
      </c>
      <c r="N139" s="11">
        <v>0.02</v>
      </c>
      <c r="O139" s="11">
        <v>-0.01</v>
      </c>
      <c r="P139" s="10">
        <v>98.5</v>
      </c>
      <c r="Q139" s="10">
        <v>111.5</v>
      </c>
    </row>
    <row r="140" spans="1:17" ht="18" x14ac:dyDescent="0.2">
      <c r="A140" s="20" t="s">
        <v>189</v>
      </c>
      <c r="B140" s="15">
        <v>4998</v>
      </c>
      <c r="C140" s="23">
        <v>3</v>
      </c>
      <c r="D140" t="s">
        <v>213</v>
      </c>
      <c r="E140" s="2" t="s">
        <v>29</v>
      </c>
      <c r="F140" s="9">
        <v>14</v>
      </c>
      <c r="G140" s="9">
        <v>136</v>
      </c>
      <c r="H140" s="10">
        <v>8.4</v>
      </c>
      <c r="I140" s="9">
        <v>1137</v>
      </c>
      <c r="J140" s="11">
        <v>0.1</v>
      </c>
      <c r="K140" s="11">
        <v>0.1</v>
      </c>
      <c r="L140" s="11">
        <v>0</v>
      </c>
      <c r="M140" s="11">
        <v>0.02</v>
      </c>
      <c r="N140" s="11">
        <v>0.02</v>
      </c>
      <c r="O140" s="11">
        <v>-0.01</v>
      </c>
      <c r="P140" s="10">
        <v>98.5</v>
      </c>
      <c r="Q140" s="10">
        <v>111.5</v>
      </c>
    </row>
    <row r="141" spans="1:17" ht="18" x14ac:dyDescent="0.2">
      <c r="A141" s="20" t="s">
        <v>94</v>
      </c>
      <c r="B141" s="14">
        <v>90000</v>
      </c>
      <c r="C141" s="23">
        <v>8</v>
      </c>
      <c r="D141" t="s">
        <v>212</v>
      </c>
      <c r="E141" s="2" t="s">
        <v>29</v>
      </c>
      <c r="F141" s="9">
        <v>31</v>
      </c>
      <c r="G141" s="9">
        <v>450</v>
      </c>
      <c r="H141" s="10">
        <v>6.6</v>
      </c>
      <c r="I141" s="9">
        <v>2960</v>
      </c>
      <c r="J141" s="11">
        <v>-0.1</v>
      </c>
      <c r="K141" s="11">
        <v>0</v>
      </c>
      <c r="L141" s="11">
        <v>-0.1</v>
      </c>
      <c r="M141" s="11">
        <v>-0.01</v>
      </c>
      <c r="N141" s="11">
        <v>0</v>
      </c>
      <c r="O141" s="11">
        <v>-0.01</v>
      </c>
      <c r="P141" s="10">
        <v>92.7</v>
      </c>
      <c r="Q141" s="10">
        <v>112.6</v>
      </c>
    </row>
    <row r="142" spans="1:17" ht="18" x14ac:dyDescent="0.2">
      <c r="A142" s="20" t="s">
        <v>144</v>
      </c>
      <c r="B142" s="14">
        <v>69267</v>
      </c>
      <c r="C142" s="23">
        <v>1</v>
      </c>
      <c r="D142" t="s">
        <v>214</v>
      </c>
      <c r="E142" s="2" t="s">
        <v>25</v>
      </c>
      <c r="F142" s="9">
        <v>41</v>
      </c>
      <c r="G142" s="9">
        <v>508</v>
      </c>
      <c r="H142" s="10">
        <v>10.5</v>
      </c>
      <c r="I142" s="9">
        <v>5337</v>
      </c>
      <c r="J142" s="11">
        <v>0.7</v>
      </c>
      <c r="K142" s="11">
        <v>0.4</v>
      </c>
      <c r="L142" s="11">
        <v>0.3</v>
      </c>
      <c r="M142" s="11">
        <v>0.06</v>
      </c>
      <c r="N142" s="11">
        <v>0.03</v>
      </c>
      <c r="O142" s="11">
        <v>0.02</v>
      </c>
      <c r="P142" s="10">
        <v>99.9</v>
      </c>
      <c r="Q142" s="10">
        <v>105.3</v>
      </c>
    </row>
    <row r="143" spans="1:17" ht="18" x14ac:dyDescent="0.2">
      <c r="A143" s="20" t="s">
        <v>153</v>
      </c>
      <c r="B143" s="14">
        <v>66079</v>
      </c>
      <c r="C143" s="23">
        <v>2</v>
      </c>
      <c r="D143" t="s">
        <v>214</v>
      </c>
      <c r="E143" s="2" t="s">
        <v>29</v>
      </c>
      <c r="F143" s="9">
        <v>28</v>
      </c>
      <c r="G143" s="9">
        <v>628</v>
      </c>
      <c r="H143" s="10">
        <v>11.8</v>
      </c>
      <c r="I143" s="9">
        <v>7401</v>
      </c>
      <c r="J143" s="11">
        <v>0.7</v>
      </c>
      <c r="K143" s="11">
        <v>0.5</v>
      </c>
      <c r="L143" s="11">
        <v>0.2</v>
      </c>
      <c r="M143" s="11">
        <v>0.05</v>
      </c>
      <c r="N143" s="11">
        <v>0.03</v>
      </c>
      <c r="O143" s="11">
        <v>0.01</v>
      </c>
      <c r="P143" s="10">
        <v>101.9</v>
      </c>
      <c r="Q143" s="10">
        <v>107.5</v>
      </c>
    </row>
    <row r="144" spans="1:17" ht="18" x14ac:dyDescent="0.2">
      <c r="A144" s="20" t="s">
        <v>171</v>
      </c>
      <c r="B144" s="14">
        <v>48865</v>
      </c>
      <c r="C144" s="23">
        <v>3</v>
      </c>
      <c r="D144" t="s">
        <v>213</v>
      </c>
      <c r="E144" s="2" t="s">
        <v>29</v>
      </c>
      <c r="F144" s="9">
        <v>10</v>
      </c>
      <c r="G144" s="9">
        <v>58</v>
      </c>
      <c r="H144" s="10">
        <v>13.6</v>
      </c>
      <c r="I144" s="9">
        <v>793000</v>
      </c>
      <c r="J144" s="11">
        <v>0.2</v>
      </c>
      <c r="K144" s="11">
        <v>0.1</v>
      </c>
      <c r="L144" s="11">
        <v>0.1</v>
      </c>
      <c r="M144" s="11">
        <v>0.16</v>
      </c>
      <c r="N144" s="11">
        <v>0.09</v>
      </c>
      <c r="O144" s="11">
        <v>7.0000000000000007E-2</v>
      </c>
      <c r="P144" s="10">
        <v>156.5</v>
      </c>
      <c r="Q144" s="10">
        <v>96.4</v>
      </c>
    </row>
    <row r="145" spans="1:17" ht="18" x14ac:dyDescent="0.2">
      <c r="A145" s="20" t="s">
        <v>103</v>
      </c>
      <c r="B145" s="14">
        <v>83371</v>
      </c>
      <c r="C145" s="23">
        <v>3</v>
      </c>
      <c r="D145" t="s">
        <v>214</v>
      </c>
      <c r="E145" s="2" t="s">
        <v>25</v>
      </c>
      <c r="F145" s="9">
        <v>26</v>
      </c>
      <c r="G145" s="9">
        <v>702</v>
      </c>
      <c r="H145" s="10">
        <v>17.2</v>
      </c>
      <c r="I145" s="9">
        <v>12107</v>
      </c>
      <c r="J145" s="11">
        <v>1.9</v>
      </c>
      <c r="K145" s="11">
        <v>1.9</v>
      </c>
      <c r="L145" s="11">
        <v>0</v>
      </c>
      <c r="M145" s="11">
        <v>0.11</v>
      </c>
      <c r="N145" s="11">
        <v>0.11</v>
      </c>
      <c r="O145" s="11">
        <v>0</v>
      </c>
      <c r="P145" s="10">
        <v>116.9</v>
      </c>
      <c r="Q145" s="10">
        <v>110.1</v>
      </c>
    </row>
    <row r="146" spans="1:17" ht="18" x14ac:dyDescent="0.2">
      <c r="A146" s="20" t="s">
        <v>143</v>
      </c>
      <c r="B146" s="14">
        <v>69267</v>
      </c>
      <c r="C146" s="23">
        <v>3</v>
      </c>
      <c r="D146" t="s">
        <v>214</v>
      </c>
      <c r="E146" s="2" t="s">
        <v>25</v>
      </c>
      <c r="F146" s="9">
        <v>26</v>
      </c>
      <c r="G146" s="9">
        <v>354</v>
      </c>
      <c r="H146" s="10">
        <v>10.3</v>
      </c>
      <c r="I146" s="9">
        <v>3651</v>
      </c>
      <c r="J146" s="11">
        <v>0.4</v>
      </c>
      <c r="K146" s="11">
        <v>0.3</v>
      </c>
      <c r="L146" s="11">
        <v>0.1</v>
      </c>
      <c r="M146" s="11">
        <v>0.04</v>
      </c>
      <c r="N146" s="11">
        <v>0.03</v>
      </c>
      <c r="O146" s="11">
        <v>0.01</v>
      </c>
      <c r="P146" s="10">
        <v>100.3</v>
      </c>
      <c r="Q146" s="10">
        <v>108</v>
      </c>
    </row>
    <row r="147" spans="1:17" ht="18" x14ac:dyDescent="0.2">
      <c r="A147" s="20" t="s">
        <v>199</v>
      </c>
      <c r="B147" s="15">
        <v>11661</v>
      </c>
      <c r="C147" s="23">
        <v>2</v>
      </c>
      <c r="D147" t="s">
        <v>213</v>
      </c>
      <c r="E147" s="2" t="s">
        <v>29</v>
      </c>
      <c r="F147" s="9">
        <v>9</v>
      </c>
      <c r="G147" s="9">
        <v>47</v>
      </c>
      <c r="H147" s="10">
        <v>8.5</v>
      </c>
      <c r="I147" s="9">
        <v>397000</v>
      </c>
      <c r="J147" s="11">
        <v>0.1</v>
      </c>
      <c r="K147" s="11">
        <v>0.1</v>
      </c>
      <c r="L147" s="11">
        <v>0</v>
      </c>
      <c r="M147" s="11">
        <v>0.06</v>
      </c>
      <c r="N147" s="11">
        <v>0.06</v>
      </c>
      <c r="O147" s="11">
        <v>0</v>
      </c>
      <c r="P147" s="10">
        <v>110.2</v>
      </c>
      <c r="Q147" s="10">
        <v>110.7</v>
      </c>
    </row>
    <row r="148" spans="1:17" ht="18" x14ac:dyDescent="0.2">
      <c r="A148" s="20" t="s">
        <v>199</v>
      </c>
      <c r="B148" s="14">
        <v>4442</v>
      </c>
      <c r="C148" s="23">
        <v>2</v>
      </c>
      <c r="D148" t="s">
        <v>213</v>
      </c>
      <c r="E148" s="2" t="s">
        <v>29</v>
      </c>
      <c r="F148" s="9">
        <v>9</v>
      </c>
      <c r="G148" s="9">
        <v>47</v>
      </c>
      <c r="H148" s="10">
        <v>8.5</v>
      </c>
      <c r="I148" s="9">
        <v>397000</v>
      </c>
      <c r="J148" s="11">
        <v>0.1</v>
      </c>
      <c r="K148" s="11">
        <v>0.1</v>
      </c>
      <c r="L148" s="11">
        <v>0</v>
      </c>
      <c r="M148" s="11">
        <v>0.06</v>
      </c>
      <c r="N148" s="11">
        <v>0.06</v>
      </c>
      <c r="O148" s="11">
        <v>0</v>
      </c>
      <c r="P148" s="10">
        <v>110.2</v>
      </c>
      <c r="Q148" s="10">
        <v>110.7</v>
      </c>
    </row>
    <row r="149" spans="1:17" ht="18" x14ac:dyDescent="0.2">
      <c r="A149" s="20" t="s">
        <v>145</v>
      </c>
      <c r="B149" s="14">
        <v>69267</v>
      </c>
      <c r="C149" s="23">
        <v>3</v>
      </c>
      <c r="D149" t="s">
        <v>214</v>
      </c>
      <c r="E149" s="2" t="s">
        <v>25</v>
      </c>
      <c r="F149" s="9">
        <v>31</v>
      </c>
      <c r="G149" s="9">
        <v>219</v>
      </c>
      <c r="H149" s="10">
        <v>17.5</v>
      </c>
      <c r="I149" s="9">
        <v>3831</v>
      </c>
      <c r="J149" s="11">
        <v>0.9</v>
      </c>
      <c r="K149" s="11">
        <v>0.5</v>
      </c>
      <c r="L149" s="11">
        <v>0.4</v>
      </c>
      <c r="M149" s="11">
        <v>0.16</v>
      </c>
      <c r="N149" s="11">
        <v>0.09</v>
      </c>
      <c r="O149" s="11">
        <v>7.0000000000000007E-2</v>
      </c>
      <c r="P149" s="10">
        <v>116.2</v>
      </c>
      <c r="Q149" s="10">
        <v>96</v>
      </c>
    </row>
    <row r="150" spans="1:17" ht="18" x14ac:dyDescent="0.2">
      <c r="A150" s="20" t="s">
        <v>186</v>
      </c>
      <c r="B150" s="14">
        <v>17769</v>
      </c>
      <c r="C150" s="23">
        <v>2</v>
      </c>
      <c r="D150" t="s">
        <v>213</v>
      </c>
      <c r="E150" s="2" t="s">
        <v>29</v>
      </c>
      <c r="F150" s="9">
        <v>18</v>
      </c>
      <c r="G150" s="9">
        <v>147</v>
      </c>
      <c r="H150" s="10">
        <v>5.2</v>
      </c>
      <c r="I150" s="9">
        <v>769000</v>
      </c>
      <c r="J150" s="11">
        <v>0</v>
      </c>
      <c r="K150" s="11">
        <v>-0.1</v>
      </c>
      <c r="L150" s="11">
        <v>0</v>
      </c>
      <c r="M150" s="11">
        <v>0</v>
      </c>
      <c r="N150" s="11">
        <v>-0.01</v>
      </c>
      <c r="O150" s="11">
        <v>0.01</v>
      </c>
      <c r="P150" s="10">
        <v>87.7</v>
      </c>
      <c r="Q150" s="10">
        <v>108.2</v>
      </c>
    </row>
    <row r="151" spans="1:17" ht="18" x14ac:dyDescent="0.2">
      <c r="A151" s="20" t="s">
        <v>186</v>
      </c>
      <c r="B151" s="15">
        <v>11661</v>
      </c>
      <c r="C151" s="23">
        <v>2</v>
      </c>
      <c r="D151" t="s">
        <v>213</v>
      </c>
      <c r="E151" s="2" t="s">
        <v>29</v>
      </c>
      <c r="F151" s="9">
        <v>18</v>
      </c>
      <c r="G151" s="9">
        <v>147</v>
      </c>
      <c r="H151" s="10">
        <v>5.2</v>
      </c>
      <c r="I151" s="9">
        <v>769000</v>
      </c>
      <c r="J151" s="11">
        <v>0</v>
      </c>
      <c r="K151" s="11">
        <v>-0.1</v>
      </c>
      <c r="L151" s="11">
        <v>0</v>
      </c>
      <c r="M151" s="11">
        <v>0</v>
      </c>
      <c r="N151" s="11">
        <v>-0.01</v>
      </c>
      <c r="O151" s="11">
        <v>0.01</v>
      </c>
      <c r="P151" s="10">
        <v>87.7</v>
      </c>
      <c r="Q151" s="10">
        <v>108.2</v>
      </c>
    </row>
    <row r="152" spans="1:17" ht="18" x14ac:dyDescent="0.2">
      <c r="A152" s="20" t="s">
        <v>167</v>
      </c>
      <c r="B152" s="14">
        <v>54418</v>
      </c>
      <c r="C152" s="23">
        <v>2</v>
      </c>
      <c r="D152" t="s">
        <v>213</v>
      </c>
      <c r="E152" s="2" t="s">
        <v>29</v>
      </c>
      <c r="F152" s="9">
        <v>34</v>
      </c>
      <c r="G152" s="9">
        <v>373</v>
      </c>
      <c r="H152" s="10">
        <v>19.600000000000001</v>
      </c>
      <c r="I152" s="9">
        <v>7298</v>
      </c>
      <c r="J152" s="11">
        <v>1.5</v>
      </c>
      <c r="K152" s="11">
        <v>0.7</v>
      </c>
      <c r="L152" s="11">
        <v>0.9</v>
      </c>
      <c r="M152" s="11">
        <v>0.16</v>
      </c>
      <c r="N152" s="11">
        <v>7.0000000000000007E-2</v>
      </c>
      <c r="O152" s="11">
        <v>0.09</v>
      </c>
      <c r="P152" s="10">
        <v>106.5</v>
      </c>
      <c r="Q152" s="10">
        <v>91.6</v>
      </c>
    </row>
    <row r="153" spans="1:17" ht="18" x14ac:dyDescent="0.2">
      <c r="A153" s="20" t="s">
        <v>196</v>
      </c>
      <c r="B153" s="15">
        <v>12216</v>
      </c>
      <c r="C153" s="23">
        <v>1</v>
      </c>
      <c r="D153" t="s">
        <v>213</v>
      </c>
      <c r="E153" s="2" t="s">
        <v>29</v>
      </c>
      <c r="F153" s="9">
        <v>3</v>
      </c>
      <c r="G153" s="9">
        <v>11</v>
      </c>
      <c r="H153" s="10">
        <v>-18</v>
      </c>
      <c r="I153" s="9">
        <v>-192</v>
      </c>
      <c r="J153" s="11">
        <v>-0.1</v>
      </c>
      <c r="K153" s="11">
        <v>-0.1</v>
      </c>
      <c r="L153" s="11">
        <v>0</v>
      </c>
      <c r="M153" s="11">
        <v>-0.27</v>
      </c>
      <c r="N153" s="11">
        <v>-0.4</v>
      </c>
      <c r="O153" s="11">
        <v>0.14000000000000001</v>
      </c>
      <c r="P153" s="10">
        <v>14.9</v>
      </c>
      <c r="Q153" s="10">
        <v>83.2</v>
      </c>
    </row>
    <row r="154" spans="1:17" ht="18" x14ac:dyDescent="0.2">
      <c r="A154" s="20" t="s">
        <v>34</v>
      </c>
      <c r="B154" s="13">
        <v>210000</v>
      </c>
      <c r="C154" s="23">
        <v>7</v>
      </c>
      <c r="D154" t="s">
        <v>212</v>
      </c>
      <c r="E154" s="2" t="s">
        <v>35</v>
      </c>
      <c r="F154" s="9">
        <v>35</v>
      </c>
      <c r="G154" s="9">
        <v>1103</v>
      </c>
      <c r="H154" s="10">
        <v>11.3</v>
      </c>
      <c r="I154" s="9">
        <v>12490</v>
      </c>
      <c r="J154" s="11">
        <v>-0.1</v>
      </c>
      <c r="K154" s="11">
        <v>0</v>
      </c>
      <c r="L154" s="11">
        <v>-0.1</v>
      </c>
      <c r="M154" s="11">
        <v>0</v>
      </c>
      <c r="N154" s="11">
        <v>0</v>
      </c>
      <c r="O154" s="11">
        <v>0</v>
      </c>
      <c r="P154" s="10">
        <v>91.9</v>
      </c>
      <c r="Q154" s="10">
        <v>110.6</v>
      </c>
    </row>
    <row r="155" spans="1:17" ht="18" x14ac:dyDescent="0.2">
      <c r="A155" s="20" t="s">
        <v>154</v>
      </c>
      <c r="B155" s="14">
        <v>66079</v>
      </c>
      <c r="C155" s="23">
        <v>7</v>
      </c>
      <c r="D155" t="s">
        <v>215</v>
      </c>
      <c r="E155" s="2" t="s">
        <v>29</v>
      </c>
      <c r="F155" s="9">
        <v>44</v>
      </c>
      <c r="G155" s="9">
        <v>803</v>
      </c>
      <c r="H155" s="10">
        <v>10.8</v>
      </c>
      <c r="I155" s="9">
        <v>8702</v>
      </c>
      <c r="J155" s="11">
        <v>1</v>
      </c>
      <c r="K155" s="11">
        <v>0.4</v>
      </c>
      <c r="L155" s="11">
        <v>0.7</v>
      </c>
      <c r="M155" s="11">
        <v>0.05</v>
      </c>
      <c r="N155" s="11">
        <v>0.02</v>
      </c>
      <c r="O155" s="11">
        <v>0.03</v>
      </c>
      <c r="P155" s="10">
        <v>96.3</v>
      </c>
      <c r="Q155" s="10">
        <v>103.7</v>
      </c>
    </row>
    <row r="156" spans="1:17" ht="18" x14ac:dyDescent="0.2">
      <c r="A156" s="20" t="s">
        <v>176</v>
      </c>
      <c r="B156" s="15">
        <v>36178</v>
      </c>
      <c r="C156" s="23">
        <v>1</v>
      </c>
      <c r="D156" t="s">
        <v>214</v>
      </c>
      <c r="E156" s="2" t="s">
        <v>25</v>
      </c>
      <c r="F156" s="9">
        <v>11</v>
      </c>
      <c r="G156" s="9">
        <v>52</v>
      </c>
      <c r="H156" s="10">
        <v>0.5</v>
      </c>
      <c r="I156" s="9">
        <v>26000</v>
      </c>
      <c r="J156" s="11">
        <v>-0.1</v>
      </c>
      <c r="K156" s="11">
        <v>-0.1</v>
      </c>
      <c r="L156" s="11">
        <v>0</v>
      </c>
      <c r="M156" s="11">
        <v>-0.09</v>
      </c>
      <c r="N156" s="11">
        <v>-0.11</v>
      </c>
      <c r="O156" s="11">
        <v>0.02</v>
      </c>
      <c r="P156" s="10">
        <v>66.7</v>
      </c>
      <c r="Q156" s="10">
        <v>106.5</v>
      </c>
    </row>
    <row r="157" spans="1:17" ht="18" x14ac:dyDescent="0.2">
      <c r="A157" s="20" t="s">
        <v>176</v>
      </c>
      <c r="B157" s="15">
        <v>3887</v>
      </c>
      <c r="C157" s="23">
        <v>1</v>
      </c>
      <c r="D157" t="s">
        <v>213</v>
      </c>
      <c r="E157" s="2" t="s">
        <v>29</v>
      </c>
      <c r="F157" s="9">
        <v>11</v>
      </c>
      <c r="G157" s="9">
        <v>52</v>
      </c>
      <c r="H157" s="10">
        <v>0.5</v>
      </c>
      <c r="I157" s="9">
        <v>26000</v>
      </c>
      <c r="J157" s="11">
        <v>-0.1</v>
      </c>
      <c r="K157" s="11">
        <v>-0.1</v>
      </c>
      <c r="L157" s="11">
        <v>0</v>
      </c>
      <c r="M157" s="11">
        <v>-0.09</v>
      </c>
      <c r="N157" s="11">
        <v>-0.11</v>
      </c>
      <c r="O157" s="11">
        <v>0.02</v>
      </c>
      <c r="P157" s="10">
        <v>66.7</v>
      </c>
      <c r="Q157" s="10">
        <v>106.5</v>
      </c>
    </row>
    <row r="158" spans="1:17" ht="18" x14ac:dyDescent="0.2">
      <c r="A158" s="20" t="s">
        <v>164</v>
      </c>
      <c r="B158" s="14">
        <v>66079</v>
      </c>
      <c r="C158" s="23">
        <v>4</v>
      </c>
      <c r="D158" t="s">
        <v>215</v>
      </c>
      <c r="E158" s="2" t="s">
        <v>54</v>
      </c>
      <c r="F158" s="9">
        <v>41</v>
      </c>
      <c r="G158" s="9">
        <v>760</v>
      </c>
      <c r="H158" s="10">
        <v>12.6</v>
      </c>
      <c r="I158" s="9">
        <v>9597</v>
      </c>
      <c r="J158" s="11">
        <v>2.2000000000000002</v>
      </c>
      <c r="K158" s="11">
        <v>1</v>
      </c>
      <c r="L158" s="11">
        <v>1.2</v>
      </c>
      <c r="M158" s="11">
        <v>0.12</v>
      </c>
      <c r="N158" s="11">
        <v>0.05</v>
      </c>
      <c r="O158" s="11">
        <v>0.06</v>
      </c>
      <c r="P158" s="10">
        <v>106.9</v>
      </c>
      <c r="Q158" s="10">
        <v>97.4</v>
      </c>
    </row>
    <row r="159" spans="1:17" ht="18" x14ac:dyDescent="0.2">
      <c r="A159" s="20" t="s">
        <v>86</v>
      </c>
      <c r="B159" s="14">
        <v>96820</v>
      </c>
      <c r="C159" s="23">
        <v>7</v>
      </c>
      <c r="D159" t="s">
        <v>212</v>
      </c>
      <c r="E159" s="2" t="s">
        <v>29</v>
      </c>
      <c r="F159" s="9">
        <v>20</v>
      </c>
      <c r="G159" s="9">
        <v>226</v>
      </c>
      <c r="H159" s="10">
        <v>5.7</v>
      </c>
      <c r="I159" s="9">
        <v>1285</v>
      </c>
      <c r="J159" s="11">
        <v>0.2</v>
      </c>
      <c r="K159" s="11">
        <v>0.1</v>
      </c>
      <c r="L159" s="11">
        <v>0.2</v>
      </c>
      <c r="M159" s="11">
        <v>0.04</v>
      </c>
      <c r="N159" s="11">
        <v>0.01</v>
      </c>
      <c r="O159" s="11">
        <v>0.03</v>
      </c>
      <c r="P159" s="10">
        <v>95.5</v>
      </c>
      <c r="Q159" s="10">
        <v>104.3</v>
      </c>
    </row>
    <row r="160" spans="1:17" ht="18" x14ac:dyDescent="0.2">
      <c r="A160" s="20" t="s">
        <v>179</v>
      </c>
      <c r="B160" s="15">
        <v>31096</v>
      </c>
      <c r="C160" s="23">
        <v>3</v>
      </c>
      <c r="D160" t="s">
        <v>213</v>
      </c>
      <c r="E160" s="2" t="s">
        <v>29</v>
      </c>
      <c r="F160" s="9">
        <v>1</v>
      </c>
      <c r="G160" s="9">
        <v>13</v>
      </c>
      <c r="H160" s="10">
        <v>15.8</v>
      </c>
      <c r="I160" s="9">
        <v>199000</v>
      </c>
      <c r="J160" s="11">
        <v>0.1</v>
      </c>
      <c r="K160" s="11">
        <v>0</v>
      </c>
      <c r="L160" s="11">
        <v>0</v>
      </c>
      <c r="M160" s="11">
        <v>0.17</v>
      </c>
      <c r="N160" s="11">
        <v>0.12</v>
      </c>
      <c r="O160" s="11">
        <v>0.04</v>
      </c>
      <c r="P160" s="10">
        <v>124.2</v>
      </c>
      <c r="Q160" s="10">
        <v>101.8</v>
      </c>
    </row>
    <row r="161" spans="1:17" ht="18" x14ac:dyDescent="0.2">
      <c r="A161" s="20" t="s">
        <v>109</v>
      </c>
      <c r="B161" s="15">
        <v>80672</v>
      </c>
      <c r="C161" s="23">
        <v>8</v>
      </c>
      <c r="D161" t="s">
        <v>212</v>
      </c>
      <c r="E161" s="2" t="s">
        <v>29</v>
      </c>
      <c r="F161" s="9">
        <v>20</v>
      </c>
      <c r="G161" s="9">
        <v>163</v>
      </c>
      <c r="H161" s="10">
        <v>9.5</v>
      </c>
      <c r="I161" s="9">
        <v>1551</v>
      </c>
      <c r="J161" s="11">
        <v>0.2</v>
      </c>
      <c r="K161" s="11">
        <v>0.2</v>
      </c>
      <c r="L161" s="11">
        <v>0</v>
      </c>
      <c r="M161" s="11">
        <v>0.05</v>
      </c>
      <c r="N161" s="11">
        <v>0.04</v>
      </c>
      <c r="O161" s="11">
        <v>0</v>
      </c>
      <c r="P161" s="10">
        <v>107.2</v>
      </c>
      <c r="Q161" s="10">
        <v>109.6</v>
      </c>
    </row>
    <row r="162" spans="1:17" ht="18" x14ac:dyDescent="0.2">
      <c r="A162" s="20" t="s">
        <v>73</v>
      </c>
      <c r="B162" s="14">
        <v>125000</v>
      </c>
      <c r="C162" s="23">
        <v>5</v>
      </c>
      <c r="D162" t="s">
        <v>212</v>
      </c>
      <c r="E162" s="2" t="s">
        <v>35</v>
      </c>
      <c r="F162" s="9">
        <v>42</v>
      </c>
      <c r="G162" s="9">
        <v>711</v>
      </c>
      <c r="H162" s="10">
        <v>8</v>
      </c>
      <c r="I162" s="9">
        <v>5654</v>
      </c>
      <c r="J162" s="11">
        <v>0</v>
      </c>
      <c r="K162" s="11">
        <v>0.2</v>
      </c>
      <c r="L162" s="11">
        <v>-0.2</v>
      </c>
      <c r="M162" s="11">
        <v>0</v>
      </c>
      <c r="N162" s="11">
        <v>0.01</v>
      </c>
      <c r="O162" s="11">
        <v>-0.01</v>
      </c>
      <c r="P162" s="10">
        <v>94.3</v>
      </c>
      <c r="Q162" s="10">
        <v>111.8</v>
      </c>
    </row>
    <row r="163" spans="1:17" ht="18" x14ac:dyDescent="0.2">
      <c r="A163" s="20" t="s">
        <v>158</v>
      </c>
      <c r="B163" s="14">
        <v>66079</v>
      </c>
      <c r="C163" s="23">
        <v>2</v>
      </c>
      <c r="D163" t="s">
        <v>213</v>
      </c>
      <c r="E163" s="2" t="s">
        <v>157</v>
      </c>
      <c r="F163" s="9">
        <v>41</v>
      </c>
      <c r="G163" s="9">
        <v>881</v>
      </c>
      <c r="H163" s="10">
        <v>12.3</v>
      </c>
      <c r="I163" s="9">
        <v>10811</v>
      </c>
      <c r="J163" s="11">
        <v>2.2000000000000002</v>
      </c>
      <c r="K163" s="11">
        <v>1.4</v>
      </c>
      <c r="L163" s="11">
        <v>0.8</v>
      </c>
      <c r="M163" s="11">
        <v>0.1</v>
      </c>
      <c r="N163" s="11">
        <v>0.06</v>
      </c>
      <c r="O163" s="11">
        <v>0.04</v>
      </c>
      <c r="P163" s="10">
        <v>107.1</v>
      </c>
      <c r="Q163" s="10">
        <v>103</v>
      </c>
    </row>
    <row r="164" spans="1:17" ht="18" x14ac:dyDescent="0.2">
      <c r="A164" s="20" t="s">
        <v>77</v>
      </c>
      <c r="B164" s="13">
        <v>110000</v>
      </c>
      <c r="C164" s="23">
        <v>8</v>
      </c>
      <c r="D164" t="s">
        <v>212</v>
      </c>
      <c r="E164" s="2" t="s">
        <v>29</v>
      </c>
      <c r="F164" s="9">
        <v>26</v>
      </c>
      <c r="G164" s="9">
        <v>474</v>
      </c>
      <c r="H164" s="10">
        <v>16.7</v>
      </c>
      <c r="I164" s="9">
        <v>7916</v>
      </c>
      <c r="J164" s="11">
        <v>1.7</v>
      </c>
      <c r="K164" s="11">
        <v>0.8</v>
      </c>
      <c r="L164" s="11">
        <v>0.8</v>
      </c>
      <c r="M164" s="11">
        <v>0.14000000000000001</v>
      </c>
      <c r="N164" s="11">
        <v>7.0000000000000007E-2</v>
      </c>
      <c r="O164" s="11">
        <v>7.0000000000000007E-2</v>
      </c>
      <c r="P164" s="10">
        <v>107.7</v>
      </c>
      <c r="Q164" s="10">
        <v>96.2</v>
      </c>
    </row>
    <row r="165" spans="1:17" ht="18" x14ac:dyDescent="0.2">
      <c r="A165" s="20" t="s">
        <v>64</v>
      </c>
      <c r="B165" s="15">
        <v>145500</v>
      </c>
      <c r="C165" s="23">
        <v>10</v>
      </c>
      <c r="D165" t="s">
        <v>212</v>
      </c>
      <c r="E165" s="2" t="s">
        <v>29</v>
      </c>
      <c r="F165" s="9">
        <v>5</v>
      </c>
      <c r="G165" s="9">
        <v>35</v>
      </c>
      <c r="H165" s="10">
        <v>9.3000000000000007</v>
      </c>
      <c r="I165" s="9">
        <v>327000</v>
      </c>
      <c r="J165" s="11">
        <v>0</v>
      </c>
      <c r="K165" s="11">
        <v>0</v>
      </c>
      <c r="L165" s="11">
        <v>0</v>
      </c>
      <c r="M165" s="11">
        <v>0.03</v>
      </c>
      <c r="N165" s="11">
        <v>0.04</v>
      </c>
      <c r="O165" s="11">
        <v>-0.01</v>
      </c>
      <c r="P165" s="10">
        <v>104.7</v>
      </c>
      <c r="Q165" s="10">
        <v>112</v>
      </c>
    </row>
    <row r="166" spans="1:17" ht="18" x14ac:dyDescent="0.2">
      <c r="A166" s="20" t="s">
        <v>180</v>
      </c>
      <c r="B166" s="15">
        <v>31096</v>
      </c>
      <c r="C166" s="23">
        <v>2</v>
      </c>
      <c r="D166" t="s">
        <v>213</v>
      </c>
      <c r="E166" s="2" t="s">
        <v>157</v>
      </c>
      <c r="F166" s="9">
        <v>12</v>
      </c>
      <c r="G166" s="9">
        <v>122</v>
      </c>
      <c r="H166" s="10">
        <v>13.4</v>
      </c>
      <c r="I166" s="9">
        <v>1628</v>
      </c>
      <c r="J166" s="11">
        <v>0.3</v>
      </c>
      <c r="K166" s="11">
        <v>0.2</v>
      </c>
      <c r="L166" s="11">
        <v>0.1</v>
      </c>
      <c r="M166" s="11">
        <v>0.11</v>
      </c>
      <c r="N166" s="11">
        <v>7.0000000000000007E-2</v>
      </c>
      <c r="O166" s="11">
        <v>0.04</v>
      </c>
      <c r="P166" s="10">
        <v>107.3</v>
      </c>
      <c r="Q166" s="10">
        <v>101.8</v>
      </c>
    </row>
    <row r="167" spans="1:17" ht="18" x14ac:dyDescent="0.2">
      <c r="A167" s="20" t="s">
        <v>39</v>
      </c>
      <c r="B167" s="13">
        <v>203000</v>
      </c>
      <c r="C167" s="23">
        <v>8</v>
      </c>
      <c r="D167" t="s">
        <v>212</v>
      </c>
      <c r="E167" s="2" t="s">
        <v>29</v>
      </c>
      <c r="F167" s="9">
        <v>40</v>
      </c>
      <c r="G167" s="9">
        <v>882</v>
      </c>
      <c r="H167" s="10">
        <v>13.5</v>
      </c>
      <c r="I167" s="9">
        <v>11924</v>
      </c>
      <c r="J167" s="11">
        <v>1.1000000000000001</v>
      </c>
      <c r="K167" s="11">
        <v>0.6</v>
      </c>
      <c r="L167" s="11">
        <v>0.5</v>
      </c>
      <c r="M167" s="11">
        <v>0.05</v>
      </c>
      <c r="N167" s="11">
        <v>0.03</v>
      </c>
      <c r="O167" s="11">
        <v>0.02</v>
      </c>
      <c r="P167" s="10">
        <v>97.7</v>
      </c>
      <c r="Q167" s="10">
        <v>105.4</v>
      </c>
    </row>
    <row r="168" spans="1:17" ht="18" x14ac:dyDescent="0.2">
      <c r="A168" s="20" t="s">
        <v>92</v>
      </c>
      <c r="B168" s="13">
        <v>91981</v>
      </c>
      <c r="C168" s="23">
        <v>4</v>
      </c>
      <c r="D168" t="s">
        <v>214</v>
      </c>
      <c r="E168" s="2" t="s">
        <v>25</v>
      </c>
      <c r="F168" s="9">
        <v>45</v>
      </c>
      <c r="G168" s="9">
        <v>956</v>
      </c>
      <c r="H168" s="10">
        <v>13.2</v>
      </c>
      <c r="I168" s="9">
        <v>12601</v>
      </c>
      <c r="J168" s="11">
        <v>2.2999999999999998</v>
      </c>
      <c r="K168" s="11">
        <v>1.3</v>
      </c>
      <c r="L168" s="11">
        <v>0.9</v>
      </c>
      <c r="M168" s="11">
        <v>0.09</v>
      </c>
      <c r="N168" s="11">
        <v>0.06</v>
      </c>
      <c r="O168" s="11">
        <v>0.04</v>
      </c>
      <c r="P168" s="10">
        <v>105.6</v>
      </c>
      <c r="Q168" s="10">
        <v>102.4</v>
      </c>
    </row>
    <row r="169" spans="1:17" ht="18" x14ac:dyDescent="0.2">
      <c r="A169" s="20" t="s">
        <v>33</v>
      </c>
      <c r="B169" s="14">
        <v>214284</v>
      </c>
      <c r="C169" s="23">
        <v>7</v>
      </c>
      <c r="D169" t="s">
        <v>212</v>
      </c>
      <c r="E169" s="2" t="s">
        <v>18</v>
      </c>
      <c r="F169" s="21">
        <v>33</v>
      </c>
      <c r="G169" s="9">
        <v>1065</v>
      </c>
      <c r="H169" s="10">
        <v>30.2</v>
      </c>
      <c r="I169" s="9">
        <v>32106</v>
      </c>
      <c r="J169" s="11">
        <v>7.6</v>
      </c>
      <c r="K169" s="11">
        <v>5.4</v>
      </c>
      <c r="L169" s="11">
        <v>2.2000000000000002</v>
      </c>
      <c r="M169" s="11">
        <v>0.28999999999999998</v>
      </c>
      <c r="N169" s="11">
        <v>0.2</v>
      </c>
      <c r="O169" s="11">
        <v>0.08</v>
      </c>
      <c r="P169" s="10">
        <v>122.9</v>
      </c>
      <c r="Q169" s="10">
        <v>93.8</v>
      </c>
    </row>
    <row r="170" spans="1:17" ht="18" x14ac:dyDescent="0.2">
      <c r="A170" s="20" t="s">
        <v>44</v>
      </c>
      <c r="B170" s="13">
        <v>200000</v>
      </c>
      <c r="C170" s="23">
        <v>8</v>
      </c>
      <c r="D170" t="s">
        <v>212</v>
      </c>
      <c r="E170" s="2" t="s">
        <v>29</v>
      </c>
      <c r="F170" s="9">
        <v>41</v>
      </c>
      <c r="G170" s="9">
        <v>1191</v>
      </c>
      <c r="H170" s="10">
        <v>14.3</v>
      </c>
      <c r="I170" s="9">
        <v>16970</v>
      </c>
      <c r="J170" s="11">
        <v>3.5</v>
      </c>
      <c r="K170" s="11">
        <v>2.2000000000000002</v>
      </c>
      <c r="L170" s="11">
        <v>1.3</v>
      </c>
      <c r="M170" s="11">
        <v>0.12</v>
      </c>
      <c r="N170" s="11">
        <v>7.0000000000000007E-2</v>
      </c>
      <c r="O170" s="11">
        <v>0.04</v>
      </c>
      <c r="P170" s="10">
        <v>108.1</v>
      </c>
      <c r="Q170" s="10">
        <v>101.7</v>
      </c>
    </row>
    <row r="171" spans="1:17" ht="18" x14ac:dyDescent="0.2">
      <c r="A171" s="20" t="s">
        <v>30</v>
      </c>
      <c r="B171" s="13">
        <v>214466</v>
      </c>
      <c r="C171" s="23">
        <v>10</v>
      </c>
      <c r="D171" t="s">
        <v>211</v>
      </c>
      <c r="E171" s="2" t="s">
        <v>29</v>
      </c>
      <c r="F171" s="9">
        <v>44</v>
      </c>
      <c r="G171" s="9">
        <v>1060</v>
      </c>
      <c r="H171" s="10">
        <v>19.100000000000001</v>
      </c>
      <c r="I171" s="9">
        <v>20269</v>
      </c>
      <c r="J171" s="11">
        <v>4.0999999999999996</v>
      </c>
      <c r="K171" s="11">
        <v>2.4</v>
      </c>
      <c r="L171" s="11">
        <v>1.7</v>
      </c>
      <c r="M171" s="11">
        <v>0.15</v>
      </c>
      <c r="N171" s="11">
        <v>0.09</v>
      </c>
      <c r="O171" s="11">
        <v>0.06</v>
      </c>
      <c r="P171" s="10">
        <v>109.3</v>
      </c>
      <c r="Q171" s="10">
        <v>97.4</v>
      </c>
    </row>
    <row r="172" spans="1:17" ht="18" x14ac:dyDescent="0.2">
      <c r="A172" s="20" t="s">
        <v>76</v>
      </c>
      <c r="B172" s="14">
        <v>116079</v>
      </c>
      <c r="C172" s="23">
        <v>5</v>
      </c>
      <c r="D172" t="s">
        <v>212</v>
      </c>
      <c r="E172" s="2" t="s">
        <v>54</v>
      </c>
      <c r="F172" s="9">
        <v>34</v>
      </c>
      <c r="G172" s="9">
        <v>623</v>
      </c>
      <c r="H172" s="10">
        <v>19.100000000000001</v>
      </c>
      <c r="I172" s="9">
        <v>11920</v>
      </c>
      <c r="J172" s="11">
        <v>2.8</v>
      </c>
      <c r="K172" s="11">
        <v>1.5</v>
      </c>
      <c r="L172" s="11">
        <v>1.3</v>
      </c>
      <c r="M172" s="11">
        <v>0.18</v>
      </c>
      <c r="N172" s="11">
        <v>0.1</v>
      </c>
      <c r="O172" s="11">
        <v>0.09</v>
      </c>
      <c r="P172" s="10">
        <v>124.8</v>
      </c>
      <c r="Q172" s="10">
        <v>93.3</v>
      </c>
    </row>
    <row r="173" spans="1:17" ht="18" x14ac:dyDescent="0.2">
      <c r="A173" s="20" t="s">
        <v>67</v>
      </c>
      <c r="B173" s="13">
        <v>135000</v>
      </c>
      <c r="C173" s="23">
        <v>7</v>
      </c>
      <c r="D173" t="s">
        <v>212</v>
      </c>
      <c r="E173" s="2" t="s">
        <v>29</v>
      </c>
      <c r="F173" s="9">
        <v>44</v>
      </c>
      <c r="G173" s="9">
        <v>833</v>
      </c>
      <c r="H173" s="10">
        <v>18.100000000000001</v>
      </c>
      <c r="I173" s="9">
        <v>15031</v>
      </c>
      <c r="J173" s="11">
        <v>3.4</v>
      </c>
      <c r="K173" s="11">
        <v>2.4</v>
      </c>
      <c r="L173" s="11">
        <v>1.1000000000000001</v>
      </c>
      <c r="M173" s="11">
        <v>0.16</v>
      </c>
      <c r="N173" s="11">
        <v>0.11</v>
      </c>
      <c r="O173" s="11">
        <v>0.05</v>
      </c>
      <c r="P173" s="10">
        <v>114</v>
      </c>
      <c r="Q173" s="10">
        <v>100.1</v>
      </c>
    </row>
    <row r="174" spans="1:17" ht="18" x14ac:dyDescent="0.2">
      <c r="A174" s="20" t="s">
        <v>108</v>
      </c>
      <c r="B174" s="13">
        <v>80823</v>
      </c>
      <c r="C174" s="23">
        <v>4</v>
      </c>
      <c r="D174" t="s">
        <v>214</v>
      </c>
      <c r="E174" s="2" t="s">
        <v>25</v>
      </c>
      <c r="F174" s="9">
        <v>44</v>
      </c>
      <c r="G174" s="9">
        <v>1122</v>
      </c>
      <c r="H174" s="10">
        <v>15.7</v>
      </c>
      <c r="I174" s="9">
        <v>17612</v>
      </c>
      <c r="J174" s="11">
        <v>4.4000000000000004</v>
      </c>
      <c r="K174" s="11">
        <v>2.8</v>
      </c>
      <c r="L174" s="11">
        <v>1.6</v>
      </c>
      <c r="M174" s="11">
        <v>0.16</v>
      </c>
      <c r="N174" s="11">
        <v>0.1</v>
      </c>
      <c r="O174" s="11">
        <v>0.06</v>
      </c>
      <c r="P174" s="10">
        <v>117.8</v>
      </c>
      <c r="Q174" s="10">
        <v>98.7</v>
      </c>
    </row>
    <row r="175" spans="1:17" ht="18" x14ac:dyDescent="0.2">
      <c r="A175" s="20" t="s">
        <v>62</v>
      </c>
      <c r="B175" s="13">
        <v>150000</v>
      </c>
      <c r="C175" s="23">
        <v>9</v>
      </c>
      <c r="D175" t="s">
        <v>212</v>
      </c>
      <c r="E175" s="2" t="s">
        <v>29</v>
      </c>
      <c r="F175" s="9">
        <v>44</v>
      </c>
      <c r="G175" s="9">
        <v>455</v>
      </c>
      <c r="H175" s="10">
        <v>14.1</v>
      </c>
      <c r="I175" s="9">
        <v>6402</v>
      </c>
      <c r="J175" s="11">
        <v>1.4</v>
      </c>
      <c r="K175" s="11">
        <v>0.6</v>
      </c>
      <c r="L175" s="11">
        <v>0.8</v>
      </c>
      <c r="M175" s="11">
        <v>0.12</v>
      </c>
      <c r="N175" s="11">
        <v>0.05</v>
      </c>
      <c r="O175" s="11">
        <v>7.0000000000000007E-2</v>
      </c>
      <c r="P175" s="10">
        <v>102.7</v>
      </c>
      <c r="Q175" s="10">
        <v>96.4</v>
      </c>
    </row>
    <row r="176" spans="1:17" ht="18" x14ac:dyDescent="0.2">
      <c r="A176" s="20" t="s">
        <v>50</v>
      </c>
      <c r="B176" s="13">
        <v>195000</v>
      </c>
      <c r="C176" s="23">
        <v>14</v>
      </c>
      <c r="D176" t="s">
        <v>212</v>
      </c>
      <c r="E176" s="2" t="s">
        <v>29</v>
      </c>
      <c r="F176" s="9">
        <v>44</v>
      </c>
      <c r="G176" s="9">
        <v>1359</v>
      </c>
      <c r="H176" s="10">
        <v>22</v>
      </c>
      <c r="I176" s="9">
        <v>29825</v>
      </c>
      <c r="J176" s="11">
        <v>5.6</v>
      </c>
      <c r="K176" s="11">
        <v>3.7</v>
      </c>
      <c r="L176" s="11">
        <v>1.9</v>
      </c>
      <c r="M176" s="11">
        <v>0.16</v>
      </c>
      <c r="N176" s="11">
        <v>0.11</v>
      </c>
      <c r="O176" s="11">
        <v>0.06</v>
      </c>
      <c r="P176" s="10">
        <v>110.3</v>
      </c>
      <c r="Q176" s="10">
        <v>99</v>
      </c>
    </row>
    <row r="177" spans="1:17" ht="18" x14ac:dyDescent="0.2">
      <c r="A177" s="20" t="s">
        <v>111</v>
      </c>
      <c r="B177" s="14">
        <v>79999</v>
      </c>
      <c r="C177" s="23">
        <v>4</v>
      </c>
      <c r="D177" t="s">
        <v>214</v>
      </c>
      <c r="E177" s="2" t="s">
        <v>25</v>
      </c>
      <c r="F177" s="9">
        <v>17</v>
      </c>
      <c r="G177" s="9">
        <v>305</v>
      </c>
      <c r="H177" s="10">
        <v>13.4</v>
      </c>
      <c r="I177" s="9">
        <v>4098</v>
      </c>
      <c r="J177" s="11">
        <v>0.8</v>
      </c>
      <c r="K177" s="11">
        <v>0.4</v>
      </c>
      <c r="L177" s="11">
        <v>0.4</v>
      </c>
      <c r="M177" s="11">
        <v>0.11</v>
      </c>
      <c r="N177" s="11">
        <v>0.05</v>
      </c>
      <c r="O177" s="11">
        <v>0.06</v>
      </c>
      <c r="P177" s="10">
        <v>104.3</v>
      </c>
      <c r="Q177" s="10">
        <v>98.8</v>
      </c>
    </row>
    <row r="178" spans="1:17" ht="18" x14ac:dyDescent="0.2">
      <c r="A178" s="20" t="s">
        <v>166</v>
      </c>
      <c r="B178" s="15">
        <v>54622</v>
      </c>
      <c r="C178" s="23">
        <v>11</v>
      </c>
      <c r="D178" t="s">
        <v>213</v>
      </c>
      <c r="E178" s="2" t="s">
        <v>29</v>
      </c>
      <c r="F178" s="9">
        <v>24</v>
      </c>
      <c r="G178" s="9">
        <v>671</v>
      </c>
      <c r="H178" s="10">
        <v>12</v>
      </c>
      <c r="I178" s="9">
        <v>8071</v>
      </c>
      <c r="J178" s="11">
        <v>1.2</v>
      </c>
      <c r="K178" s="11">
        <v>1.1000000000000001</v>
      </c>
      <c r="L178" s="11">
        <v>0.1</v>
      </c>
      <c r="M178" s="11">
        <v>7.0000000000000007E-2</v>
      </c>
      <c r="N178" s="11">
        <v>0.06</v>
      </c>
      <c r="O178" s="11">
        <v>0.01</v>
      </c>
      <c r="P178" s="10">
        <v>106.4</v>
      </c>
      <c r="Q178" s="10">
        <v>109</v>
      </c>
    </row>
    <row r="179" spans="1:17" ht="18" x14ac:dyDescent="0.2">
      <c r="A179" s="20" t="s">
        <v>166</v>
      </c>
      <c r="B179" s="15">
        <v>13911</v>
      </c>
      <c r="C179" s="23">
        <v>11</v>
      </c>
      <c r="D179" t="s">
        <v>213</v>
      </c>
      <c r="E179" s="2" t="s">
        <v>29</v>
      </c>
      <c r="F179" s="9">
        <v>24</v>
      </c>
      <c r="G179" s="9">
        <v>671</v>
      </c>
      <c r="H179" s="10">
        <v>12</v>
      </c>
      <c r="I179" s="9">
        <v>8071</v>
      </c>
      <c r="J179" s="11">
        <v>1.2</v>
      </c>
      <c r="K179" s="11">
        <v>1.1000000000000001</v>
      </c>
      <c r="L179" s="11">
        <v>0.1</v>
      </c>
      <c r="M179" s="11">
        <v>7.0000000000000007E-2</v>
      </c>
      <c r="N179" s="11">
        <v>0.06</v>
      </c>
      <c r="O179" s="11">
        <v>0.01</v>
      </c>
      <c r="P179" s="10">
        <v>106.4</v>
      </c>
      <c r="Q179" s="10">
        <v>109</v>
      </c>
    </row>
    <row r="180" spans="1:17" ht="18" x14ac:dyDescent="0.2">
      <c r="A180" s="20" t="s">
        <v>166</v>
      </c>
      <c r="B180" s="14">
        <v>7949</v>
      </c>
      <c r="C180" s="23">
        <v>11</v>
      </c>
      <c r="D180" t="s">
        <v>213</v>
      </c>
      <c r="E180" s="2" t="s">
        <v>29</v>
      </c>
      <c r="F180" s="9">
        <v>24</v>
      </c>
      <c r="G180" s="9">
        <v>671</v>
      </c>
      <c r="H180" s="10">
        <v>12</v>
      </c>
      <c r="I180" s="9">
        <v>8071</v>
      </c>
      <c r="J180" s="11">
        <v>1.2</v>
      </c>
      <c r="K180" s="11">
        <v>1.1000000000000001</v>
      </c>
      <c r="L180" s="11">
        <v>0.1</v>
      </c>
      <c r="M180" s="11">
        <v>7.0000000000000007E-2</v>
      </c>
      <c r="N180" s="11">
        <v>0.06</v>
      </c>
      <c r="O180" s="11">
        <v>0.01</v>
      </c>
      <c r="P180" s="10">
        <v>106.4</v>
      </c>
      <c r="Q180" s="10">
        <v>109</v>
      </c>
    </row>
    <row r="181" spans="1:17" ht="18" x14ac:dyDescent="0.2">
      <c r="A181" s="20" t="s">
        <v>107</v>
      </c>
      <c r="B181" s="13">
        <v>80823</v>
      </c>
      <c r="C181" s="23">
        <v>4</v>
      </c>
      <c r="D181" t="s">
        <v>214</v>
      </c>
      <c r="E181" s="2" t="s">
        <v>25</v>
      </c>
      <c r="F181" s="9">
        <v>37</v>
      </c>
      <c r="G181" s="9">
        <v>800</v>
      </c>
      <c r="H181" s="10">
        <v>17</v>
      </c>
      <c r="I181" s="9">
        <v>13628</v>
      </c>
      <c r="J181" s="11">
        <v>2.1</v>
      </c>
      <c r="K181" s="11">
        <v>1.6</v>
      </c>
      <c r="L181" s="11">
        <v>0.5</v>
      </c>
      <c r="M181" s="11">
        <v>0.1</v>
      </c>
      <c r="N181" s="11">
        <v>0.08</v>
      </c>
      <c r="O181" s="11">
        <v>0.02</v>
      </c>
      <c r="P181" s="10">
        <v>111.4</v>
      </c>
      <c r="Q181" s="10">
        <v>105.5</v>
      </c>
    </row>
    <row r="182" spans="1:17" ht="18" x14ac:dyDescent="0.2">
      <c r="A182" s="20" t="s">
        <v>121</v>
      </c>
      <c r="B182" s="14">
        <v>78831</v>
      </c>
      <c r="C182" s="23">
        <v>1</v>
      </c>
      <c r="D182" t="s">
        <v>214</v>
      </c>
      <c r="E182" s="2" t="s">
        <v>25</v>
      </c>
      <c r="F182" s="9">
        <v>36</v>
      </c>
      <c r="G182" s="9">
        <v>1199</v>
      </c>
      <c r="H182" s="10">
        <v>21.9</v>
      </c>
      <c r="I182" s="9">
        <v>26269</v>
      </c>
      <c r="J182" s="11">
        <v>4.5</v>
      </c>
      <c r="K182" s="11">
        <v>4.0999999999999996</v>
      </c>
      <c r="L182" s="11">
        <v>0.3</v>
      </c>
      <c r="M182" s="11">
        <v>0.15</v>
      </c>
      <c r="N182" s="11">
        <v>0.14000000000000001</v>
      </c>
      <c r="O182" s="11">
        <v>0.01</v>
      </c>
      <c r="P182" s="10">
        <v>115.5</v>
      </c>
      <c r="Q182" s="10">
        <v>107.8</v>
      </c>
    </row>
    <row r="183" spans="1:17" ht="18" x14ac:dyDescent="0.2">
      <c r="A183" s="20" t="s">
        <v>89</v>
      </c>
      <c r="B183" s="13">
        <v>95000</v>
      </c>
      <c r="C183" s="23">
        <v>10</v>
      </c>
      <c r="D183" t="s">
        <v>212</v>
      </c>
      <c r="E183" s="2" t="s">
        <v>29</v>
      </c>
      <c r="F183" s="9">
        <v>44</v>
      </c>
      <c r="G183" s="9">
        <v>1081</v>
      </c>
      <c r="H183" s="10">
        <v>10.6</v>
      </c>
      <c r="I183" s="9">
        <v>11458</v>
      </c>
      <c r="J183" s="11">
        <v>1</v>
      </c>
      <c r="K183" s="11">
        <v>1.3</v>
      </c>
      <c r="L183" s="11">
        <v>-0.2</v>
      </c>
      <c r="M183" s="11">
        <v>0.04</v>
      </c>
      <c r="N183" s="11">
        <v>0.05</v>
      </c>
      <c r="O183" s="11">
        <v>-0.01</v>
      </c>
      <c r="P183" s="10">
        <v>103.1</v>
      </c>
      <c r="Q183" s="10">
        <v>111.8</v>
      </c>
    </row>
    <row r="184" spans="1:17" ht="18" x14ac:dyDescent="0.2">
      <c r="A184" s="20" t="s">
        <v>66</v>
      </c>
      <c r="B184" s="14">
        <v>137500</v>
      </c>
      <c r="C184" s="23">
        <v>5</v>
      </c>
      <c r="D184" t="s">
        <v>212</v>
      </c>
      <c r="E184" s="2" t="s">
        <v>29</v>
      </c>
      <c r="F184" s="9">
        <v>28</v>
      </c>
      <c r="G184" s="9">
        <v>515</v>
      </c>
      <c r="H184" s="10">
        <v>13</v>
      </c>
      <c r="I184" s="9">
        <v>6719</v>
      </c>
      <c r="J184" s="11">
        <v>0.7</v>
      </c>
      <c r="K184" s="11">
        <v>0.7</v>
      </c>
      <c r="L184" s="11">
        <v>0</v>
      </c>
      <c r="M184" s="11">
        <v>0.06</v>
      </c>
      <c r="N184" s="11">
        <v>0.06</v>
      </c>
      <c r="O184" s="11">
        <v>0</v>
      </c>
      <c r="P184" s="10">
        <v>104.5</v>
      </c>
      <c r="Q184" s="10">
        <v>110.1</v>
      </c>
    </row>
    <row r="185" spans="1:17" ht="18" x14ac:dyDescent="0.2">
      <c r="A185" s="20" t="s">
        <v>140</v>
      </c>
      <c r="B185" s="14">
        <v>69267</v>
      </c>
      <c r="C185" s="23">
        <v>1</v>
      </c>
      <c r="D185" t="s">
        <v>214</v>
      </c>
      <c r="E185" s="2" t="s">
        <v>25</v>
      </c>
      <c r="F185" s="9">
        <v>15</v>
      </c>
      <c r="G185" s="9">
        <v>90</v>
      </c>
      <c r="H185" s="10">
        <v>7.2</v>
      </c>
      <c r="I185" s="9">
        <v>649000</v>
      </c>
      <c r="J185" s="11">
        <v>-0.1</v>
      </c>
      <c r="K185" s="11">
        <v>-0.1</v>
      </c>
      <c r="L185" s="11">
        <v>0</v>
      </c>
      <c r="M185" s="11">
        <v>-0.04</v>
      </c>
      <c r="N185" s="11">
        <v>-0.06</v>
      </c>
      <c r="O185" s="11">
        <v>0.02</v>
      </c>
      <c r="P185" s="10">
        <v>79.900000000000006</v>
      </c>
      <c r="Q185" s="10">
        <v>106</v>
      </c>
    </row>
    <row r="186" spans="1:17" ht="18" x14ac:dyDescent="0.2">
      <c r="A186" s="20" t="s">
        <v>60</v>
      </c>
      <c r="B186" s="13">
        <v>160000</v>
      </c>
      <c r="C186" s="23">
        <v>10</v>
      </c>
      <c r="D186" t="s">
        <v>212</v>
      </c>
      <c r="E186" s="2" t="s">
        <v>29</v>
      </c>
      <c r="F186" s="9">
        <v>44</v>
      </c>
      <c r="G186" s="9">
        <v>821</v>
      </c>
      <c r="H186" s="10">
        <v>7.9</v>
      </c>
      <c r="I186" s="9">
        <v>6497</v>
      </c>
      <c r="J186" s="11">
        <v>0</v>
      </c>
      <c r="K186" s="11">
        <v>-0.1</v>
      </c>
      <c r="L186" s="11">
        <v>0.2</v>
      </c>
      <c r="M186" s="11">
        <v>0</v>
      </c>
      <c r="N186" s="11">
        <v>-0.01</v>
      </c>
      <c r="O186" s="11">
        <v>0.01</v>
      </c>
      <c r="P186" s="10">
        <v>90.2</v>
      </c>
      <c r="Q186" s="10">
        <v>108.6</v>
      </c>
    </row>
    <row r="187" spans="1:17" ht="18" x14ac:dyDescent="0.2">
      <c r="A187" s="20" t="s">
        <v>163</v>
      </c>
      <c r="B187" s="14">
        <v>66079</v>
      </c>
      <c r="C187" s="23">
        <v>4</v>
      </c>
      <c r="D187" t="s">
        <v>215</v>
      </c>
      <c r="E187" s="2" t="s">
        <v>54</v>
      </c>
      <c r="F187" s="9">
        <v>41</v>
      </c>
      <c r="G187" s="9">
        <v>502</v>
      </c>
      <c r="H187" s="10">
        <v>12.5</v>
      </c>
      <c r="I187" s="9">
        <v>6265</v>
      </c>
      <c r="J187" s="11">
        <v>1.5</v>
      </c>
      <c r="K187" s="11">
        <v>0.9</v>
      </c>
      <c r="L187" s="11">
        <v>0.6</v>
      </c>
      <c r="M187" s="11">
        <v>0.12</v>
      </c>
      <c r="N187" s="11">
        <v>7.0000000000000007E-2</v>
      </c>
      <c r="O187" s="11">
        <v>0.04</v>
      </c>
      <c r="P187" s="10">
        <v>113.8</v>
      </c>
      <c r="Q187" s="10">
        <v>101.3</v>
      </c>
    </row>
    <row r="188" spans="1:17" ht="18" x14ac:dyDescent="0.2">
      <c r="A188" s="20" t="s">
        <v>93</v>
      </c>
      <c r="B188" s="13">
        <v>91981</v>
      </c>
      <c r="C188" s="23">
        <v>4</v>
      </c>
      <c r="D188" t="s">
        <v>214</v>
      </c>
      <c r="E188" s="2" t="s">
        <v>25</v>
      </c>
      <c r="F188" s="9">
        <v>33</v>
      </c>
      <c r="G188" s="9">
        <v>1151</v>
      </c>
      <c r="H188" s="10">
        <v>18.2</v>
      </c>
      <c r="I188" s="9">
        <v>20907</v>
      </c>
      <c r="J188" s="11">
        <v>4.9000000000000004</v>
      </c>
      <c r="K188" s="11">
        <v>3.1</v>
      </c>
      <c r="L188" s="11">
        <v>1.8</v>
      </c>
      <c r="M188" s="11">
        <v>0.17</v>
      </c>
      <c r="N188" s="11">
        <v>0.11</v>
      </c>
      <c r="O188" s="11">
        <v>0.06</v>
      </c>
      <c r="P188" s="10">
        <v>111</v>
      </c>
      <c r="Q188" s="10">
        <v>97.6</v>
      </c>
    </row>
    <row r="189" spans="1:17" ht="18" x14ac:dyDescent="0.2">
      <c r="A189" s="20" t="s">
        <v>123</v>
      </c>
      <c r="B189" s="14">
        <v>78066</v>
      </c>
      <c r="C189" s="23">
        <v>2</v>
      </c>
      <c r="D189" t="s">
        <v>214</v>
      </c>
      <c r="E189" s="2" t="s">
        <v>25</v>
      </c>
      <c r="F189" s="9">
        <v>38</v>
      </c>
      <c r="G189" s="9">
        <v>1173</v>
      </c>
      <c r="H189" s="10">
        <v>12.5</v>
      </c>
      <c r="I189" s="9">
        <v>14675</v>
      </c>
      <c r="J189" s="11">
        <v>0.9</v>
      </c>
      <c r="K189" s="11">
        <v>1.2</v>
      </c>
      <c r="L189" s="11">
        <v>-0.3</v>
      </c>
      <c r="M189" s="11">
        <v>0.03</v>
      </c>
      <c r="N189" s="11">
        <v>0.04</v>
      </c>
      <c r="O189" s="11">
        <v>-0.01</v>
      </c>
      <c r="P189" s="10">
        <v>99.6</v>
      </c>
      <c r="Q189" s="10">
        <v>112</v>
      </c>
    </row>
    <row r="190" spans="1:17" ht="18" x14ac:dyDescent="0.2">
      <c r="A190" s="20" t="s">
        <v>200</v>
      </c>
      <c r="B190" s="15">
        <v>11106</v>
      </c>
      <c r="C190" s="23">
        <v>4</v>
      </c>
      <c r="D190" t="s">
        <v>213</v>
      </c>
      <c r="E190" s="2" t="s">
        <v>29</v>
      </c>
      <c r="F190" s="9">
        <v>6</v>
      </c>
      <c r="G190" s="9">
        <v>63</v>
      </c>
      <c r="H190" s="10">
        <v>1</v>
      </c>
      <c r="I190" s="9">
        <v>65000</v>
      </c>
      <c r="J190" s="11">
        <v>-0.1</v>
      </c>
      <c r="K190" s="11">
        <v>-0.1</v>
      </c>
      <c r="L190" s="11">
        <v>0</v>
      </c>
      <c r="M190" s="11">
        <v>-0.05</v>
      </c>
      <c r="N190" s="11">
        <v>-0.04</v>
      </c>
      <c r="O190" s="11">
        <v>-0.01</v>
      </c>
      <c r="P190" s="10">
        <v>58.2</v>
      </c>
      <c r="Q190" s="10">
        <v>112.5</v>
      </c>
    </row>
    <row r="191" spans="1:17" ht="18" x14ac:dyDescent="0.2">
      <c r="A191" s="20" t="s">
        <v>24</v>
      </c>
      <c r="B191" s="14">
        <v>222060</v>
      </c>
      <c r="C191" s="23">
        <v>6</v>
      </c>
      <c r="D191" t="s">
        <v>211</v>
      </c>
      <c r="E191" s="2" t="s">
        <v>25</v>
      </c>
      <c r="F191" s="9">
        <v>38</v>
      </c>
      <c r="G191" s="9">
        <v>1194</v>
      </c>
      <c r="H191" s="10">
        <v>20.6</v>
      </c>
      <c r="I191" s="9">
        <v>24600</v>
      </c>
      <c r="J191" s="11">
        <v>4.5</v>
      </c>
      <c r="K191" s="11">
        <v>3.2</v>
      </c>
      <c r="L191" s="11">
        <v>1.3</v>
      </c>
      <c r="M191" s="11">
        <v>0.15</v>
      </c>
      <c r="N191" s="11">
        <v>0.11</v>
      </c>
      <c r="O191" s="11">
        <v>0.04</v>
      </c>
      <c r="P191" s="10">
        <v>107</v>
      </c>
      <c r="Q191" s="10">
        <v>101.3</v>
      </c>
    </row>
    <row r="192" spans="1:17" ht="18" x14ac:dyDescent="0.2">
      <c r="A192" s="20" t="s">
        <v>71</v>
      </c>
      <c r="B192" s="14">
        <v>125000</v>
      </c>
      <c r="C192" s="23">
        <v>9</v>
      </c>
      <c r="D192" t="s">
        <v>212</v>
      </c>
      <c r="E192" s="2" t="s">
        <v>29</v>
      </c>
      <c r="F192" s="9">
        <v>43</v>
      </c>
      <c r="G192" s="9">
        <v>1027</v>
      </c>
      <c r="H192" s="10">
        <v>11.5</v>
      </c>
      <c r="I192" s="9">
        <v>11850</v>
      </c>
      <c r="J192" s="11">
        <v>2.1</v>
      </c>
      <c r="K192" s="11">
        <v>1.1000000000000001</v>
      </c>
      <c r="L192" s="11">
        <v>1</v>
      </c>
      <c r="M192" s="11">
        <v>0.08</v>
      </c>
      <c r="N192" s="11">
        <v>0.04</v>
      </c>
      <c r="O192" s="11">
        <v>0.04</v>
      </c>
      <c r="P192" s="10">
        <v>101.7</v>
      </c>
      <c r="Q192" s="10">
        <v>102.7</v>
      </c>
    </row>
    <row r="193" spans="1:17" ht="18" x14ac:dyDescent="0.2">
      <c r="A193" s="20" t="s">
        <v>139</v>
      </c>
      <c r="B193" s="14">
        <v>69267</v>
      </c>
      <c r="C193" s="23">
        <v>2</v>
      </c>
      <c r="D193" t="s">
        <v>214</v>
      </c>
      <c r="E193" s="2" t="s">
        <v>25</v>
      </c>
      <c r="F193" s="9">
        <v>16</v>
      </c>
      <c r="G193" s="9">
        <v>77</v>
      </c>
      <c r="H193" s="10">
        <v>0.6</v>
      </c>
      <c r="I193" s="9">
        <v>48000</v>
      </c>
      <c r="J193" s="11">
        <v>-0.2</v>
      </c>
      <c r="K193" s="11">
        <v>-0.2</v>
      </c>
      <c r="L193" s="11">
        <v>0</v>
      </c>
      <c r="M193" s="11">
        <v>-0.13</v>
      </c>
      <c r="N193" s="11">
        <v>-0.13</v>
      </c>
      <c r="O193" s="11">
        <v>0</v>
      </c>
      <c r="P193" s="10">
        <v>65.900000000000006</v>
      </c>
      <c r="Q193" s="10">
        <v>109.2</v>
      </c>
    </row>
    <row r="194" spans="1:17" ht="18" x14ac:dyDescent="0.2">
      <c r="A194" s="20" t="s">
        <v>129</v>
      </c>
      <c r="B194" s="14">
        <v>75643</v>
      </c>
      <c r="C194" s="23">
        <v>3</v>
      </c>
      <c r="D194" t="s">
        <v>214</v>
      </c>
      <c r="E194" s="2" t="s">
        <v>25</v>
      </c>
      <c r="F194" s="9">
        <v>42</v>
      </c>
      <c r="G194" s="9">
        <v>1097</v>
      </c>
      <c r="H194" s="10">
        <v>13.6</v>
      </c>
      <c r="I194" s="9">
        <v>14902</v>
      </c>
      <c r="J194" s="11">
        <v>1.2</v>
      </c>
      <c r="K194" s="11">
        <v>0.7</v>
      </c>
      <c r="L194" s="11">
        <v>0.5</v>
      </c>
      <c r="M194" s="11">
        <v>0.04</v>
      </c>
      <c r="N194" s="11">
        <v>0.02</v>
      </c>
      <c r="O194" s="11">
        <v>0.02</v>
      </c>
      <c r="P194" s="10">
        <v>97.6</v>
      </c>
      <c r="Q194" s="10">
        <v>106.6</v>
      </c>
    </row>
    <row r="195" spans="1:17" ht="18" x14ac:dyDescent="0.2">
      <c r="A195" s="20" t="s">
        <v>134</v>
      </c>
      <c r="B195" s="14">
        <v>72455</v>
      </c>
      <c r="C195" s="23">
        <v>2</v>
      </c>
      <c r="D195" t="s">
        <v>214</v>
      </c>
      <c r="E195" s="2" t="s">
        <v>25</v>
      </c>
      <c r="F195" s="9">
        <v>34</v>
      </c>
      <c r="G195" s="9">
        <v>481</v>
      </c>
      <c r="H195" s="10">
        <v>4.2</v>
      </c>
      <c r="I195" s="9">
        <v>2019</v>
      </c>
      <c r="J195" s="11">
        <v>-0.5</v>
      </c>
      <c r="K195" s="11">
        <v>-0.4</v>
      </c>
      <c r="L195" s="11">
        <v>0</v>
      </c>
      <c r="M195" s="11">
        <v>-0.04</v>
      </c>
      <c r="N195" s="11">
        <v>-0.04</v>
      </c>
      <c r="O195" s="11">
        <v>0</v>
      </c>
      <c r="P195" s="10">
        <v>81.400000000000006</v>
      </c>
      <c r="Q195" s="10">
        <v>110.3</v>
      </c>
    </row>
    <row r="196" spans="1:17" ht="18" x14ac:dyDescent="0.2">
      <c r="A196" s="20" t="s">
        <v>26</v>
      </c>
      <c r="B196" s="13">
        <v>215000</v>
      </c>
      <c r="C196" s="23">
        <v>6</v>
      </c>
      <c r="D196" t="s">
        <v>211</v>
      </c>
      <c r="E196" s="2" t="s">
        <v>16</v>
      </c>
      <c r="F196" s="9">
        <v>39</v>
      </c>
      <c r="G196" s="9">
        <v>1039</v>
      </c>
      <c r="H196" s="10">
        <v>19.600000000000001</v>
      </c>
      <c r="I196" s="9">
        <v>20393</v>
      </c>
      <c r="J196" s="11">
        <v>4</v>
      </c>
      <c r="K196" s="11">
        <v>2.4</v>
      </c>
      <c r="L196" s="11">
        <v>1.6</v>
      </c>
      <c r="M196" s="11">
        <v>0.15</v>
      </c>
      <c r="N196" s="11">
        <v>0.09</v>
      </c>
      <c r="O196" s="11">
        <v>0.06</v>
      </c>
      <c r="P196" s="10">
        <v>105.5</v>
      </c>
      <c r="Q196" s="10">
        <v>98.1</v>
      </c>
    </row>
    <row r="197" spans="1:17" ht="18" x14ac:dyDescent="0.2">
      <c r="A197" s="20" t="s">
        <v>204</v>
      </c>
      <c r="B197" s="15">
        <v>5136</v>
      </c>
      <c r="C197" s="23">
        <v>1</v>
      </c>
      <c r="D197" t="s">
        <v>213</v>
      </c>
      <c r="E197" s="2" t="s">
        <v>29</v>
      </c>
      <c r="F197" s="9">
        <v>3</v>
      </c>
      <c r="G197" s="9">
        <v>22</v>
      </c>
      <c r="H197" s="10">
        <v>-9.1</v>
      </c>
      <c r="I197" s="9">
        <v>-198</v>
      </c>
      <c r="J197" s="11">
        <v>-0.1</v>
      </c>
      <c r="K197" s="11">
        <v>-0.1</v>
      </c>
      <c r="L197" s="11">
        <v>0</v>
      </c>
      <c r="M197" s="11">
        <v>-0.22</v>
      </c>
      <c r="N197" s="11">
        <v>-0.14000000000000001</v>
      </c>
      <c r="O197" s="11">
        <v>-0.08</v>
      </c>
      <c r="P197" s="10">
        <v>0</v>
      </c>
      <c r="Q197" s="10">
        <v>125.5</v>
      </c>
    </row>
    <row r="198" spans="1:17" ht="18" x14ac:dyDescent="0.2">
      <c r="A198" s="20" t="s">
        <v>183</v>
      </c>
      <c r="B198" s="14">
        <v>25543</v>
      </c>
      <c r="C198" s="23">
        <v>2</v>
      </c>
      <c r="D198" t="s">
        <v>213</v>
      </c>
      <c r="E198" s="2" t="s">
        <v>29</v>
      </c>
      <c r="F198" s="9">
        <v>25</v>
      </c>
      <c r="G198" s="9">
        <v>440</v>
      </c>
      <c r="H198" s="10">
        <v>2.9</v>
      </c>
      <c r="I198" s="9">
        <v>1284</v>
      </c>
      <c r="J198" s="11">
        <v>-0.7</v>
      </c>
      <c r="K198" s="11">
        <v>-0.8</v>
      </c>
      <c r="L198" s="11">
        <v>0.1</v>
      </c>
      <c r="M198" s="11">
        <v>-0.06</v>
      </c>
      <c r="N198" s="11">
        <v>-7.0000000000000007E-2</v>
      </c>
      <c r="O198" s="11">
        <v>0.01</v>
      </c>
      <c r="P198" s="10">
        <v>73.5</v>
      </c>
      <c r="Q198" s="10">
        <v>107.8</v>
      </c>
    </row>
    <row r="199" spans="1:17" ht="18" x14ac:dyDescent="0.2">
      <c r="A199" s="20" t="s">
        <v>183</v>
      </c>
      <c r="B199" s="15">
        <v>11106</v>
      </c>
      <c r="C199" s="23">
        <v>2</v>
      </c>
      <c r="D199" t="s">
        <v>213</v>
      </c>
      <c r="E199" s="2" t="s">
        <v>54</v>
      </c>
      <c r="F199" s="9">
        <v>25</v>
      </c>
      <c r="G199" s="9">
        <v>440</v>
      </c>
      <c r="H199" s="10">
        <v>2.9</v>
      </c>
      <c r="I199" s="9">
        <v>1284</v>
      </c>
      <c r="J199" s="11">
        <v>-0.7</v>
      </c>
      <c r="K199" s="11">
        <v>-0.8</v>
      </c>
      <c r="L199" s="11">
        <v>0.1</v>
      </c>
      <c r="M199" s="11">
        <v>-0.06</v>
      </c>
      <c r="N199" s="11">
        <v>-7.0000000000000007E-2</v>
      </c>
      <c r="O199" s="11">
        <v>0.01</v>
      </c>
      <c r="P199" s="10">
        <v>73.5</v>
      </c>
      <c r="Q199" s="10">
        <v>107.8</v>
      </c>
    </row>
    <row r="200" spans="1:17" ht="18" x14ac:dyDescent="0.2">
      <c r="A200" s="20" t="s">
        <v>91</v>
      </c>
      <c r="B200" s="13">
        <v>91981</v>
      </c>
      <c r="C200" s="23">
        <v>4</v>
      </c>
      <c r="D200" t="s">
        <v>214</v>
      </c>
      <c r="E200" s="2" t="s">
        <v>25</v>
      </c>
      <c r="F200" s="9">
        <v>38</v>
      </c>
      <c r="G200" s="9">
        <v>874</v>
      </c>
      <c r="H200" s="10">
        <v>18.5</v>
      </c>
      <c r="I200" s="9">
        <v>16164</v>
      </c>
      <c r="J200" s="11">
        <v>1.6</v>
      </c>
      <c r="K200" s="11">
        <v>0.2</v>
      </c>
      <c r="L200" s="11">
        <v>1.5</v>
      </c>
      <c r="M200" s="11">
        <v>7.0000000000000007E-2</v>
      </c>
      <c r="N200" s="11">
        <v>0.01</v>
      </c>
      <c r="O200" s="11">
        <v>7.0000000000000007E-2</v>
      </c>
      <c r="P200" s="10">
        <v>92.9</v>
      </c>
      <c r="Q200" s="10">
        <v>96.8</v>
      </c>
    </row>
    <row r="201" spans="1:17" ht="18" x14ac:dyDescent="0.2">
      <c r="A201" s="20" t="s">
        <v>61</v>
      </c>
      <c r="B201" s="13">
        <v>150000</v>
      </c>
      <c r="C201" s="23">
        <v>10</v>
      </c>
      <c r="D201" t="s">
        <v>212</v>
      </c>
      <c r="E201" s="2" t="s">
        <v>29</v>
      </c>
      <c r="F201" s="9">
        <v>41</v>
      </c>
      <c r="G201" s="9">
        <v>354</v>
      </c>
      <c r="H201" s="10">
        <v>7.8</v>
      </c>
      <c r="I201" s="9">
        <v>2759</v>
      </c>
      <c r="J201" s="11">
        <v>0.6</v>
      </c>
      <c r="K201" s="11">
        <v>0.1</v>
      </c>
      <c r="L201" s="11">
        <v>0.5</v>
      </c>
      <c r="M201" s="11">
        <v>7.0000000000000007E-2</v>
      </c>
      <c r="N201" s="11">
        <v>0.01</v>
      </c>
      <c r="O201" s="11">
        <v>0.06</v>
      </c>
      <c r="P201" s="10">
        <v>97.5</v>
      </c>
      <c r="Q201" s="10">
        <v>99</v>
      </c>
    </row>
    <row r="202" spans="1:17" ht="18" x14ac:dyDescent="0.2">
      <c r="A202" s="20" t="s">
        <v>193</v>
      </c>
      <c r="B202" s="15">
        <v>13911</v>
      </c>
      <c r="C202" s="23">
        <v>10</v>
      </c>
      <c r="D202" t="s">
        <v>213</v>
      </c>
      <c r="E202" s="2" t="s">
        <v>190</v>
      </c>
      <c r="F202" s="9">
        <v>15</v>
      </c>
      <c r="G202" s="9">
        <v>265</v>
      </c>
      <c r="H202" s="10">
        <v>12.3</v>
      </c>
      <c r="I202" s="9">
        <v>3248</v>
      </c>
      <c r="J202" s="11">
        <v>0.6</v>
      </c>
      <c r="K202" s="11">
        <v>0.6</v>
      </c>
      <c r="L202" s="11">
        <v>0</v>
      </c>
      <c r="M202" s="11">
        <v>0.09</v>
      </c>
      <c r="N202" s="11">
        <v>0.09</v>
      </c>
      <c r="O202" s="11">
        <v>0</v>
      </c>
      <c r="P202" s="10">
        <v>121.7</v>
      </c>
      <c r="Q202" s="10">
        <v>109.5</v>
      </c>
    </row>
    <row r="203" spans="1:17" ht="18" x14ac:dyDescent="0.2">
      <c r="A203" s="20" t="s">
        <v>193</v>
      </c>
      <c r="B203" s="15">
        <v>9440</v>
      </c>
      <c r="C203" s="23">
        <v>10</v>
      </c>
      <c r="D203" t="s">
        <v>213</v>
      </c>
      <c r="E203" s="2" t="s">
        <v>190</v>
      </c>
      <c r="F203" s="9">
        <v>15</v>
      </c>
      <c r="G203" s="9">
        <v>265</v>
      </c>
      <c r="H203" s="10">
        <v>12.3</v>
      </c>
      <c r="I203" s="9">
        <v>3248</v>
      </c>
      <c r="J203" s="11">
        <v>0.6</v>
      </c>
      <c r="K203" s="11">
        <v>0.6</v>
      </c>
      <c r="L203" s="11">
        <v>0</v>
      </c>
      <c r="M203" s="11">
        <v>0.09</v>
      </c>
      <c r="N203" s="11">
        <v>0.09</v>
      </c>
      <c r="O203" s="11">
        <v>0</v>
      </c>
      <c r="P203" s="10">
        <v>121.7</v>
      </c>
      <c r="Q203" s="10">
        <v>109.5</v>
      </c>
    </row>
    <row r="204" spans="1:17" ht="18" x14ac:dyDescent="0.2">
      <c r="A204" s="20" t="s">
        <v>193</v>
      </c>
      <c r="B204" s="14">
        <v>1987</v>
      </c>
      <c r="C204" s="23">
        <v>10</v>
      </c>
      <c r="D204" t="s">
        <v>213</v>
      </c>
      <c r="E204" s="2" t="s">
        <v>190</v>
      </c>
      <c r="F204" s="9">
        <v>15</v>
      </c>
      <c r="G204" s="9">
        <v>265</v>
      </c>
      <c r="H204" s="10">
        <v>12.3</v>
      </c>
      <c r="I204" s="9">
        <v>3248</v>
      </c>
      <c r="J204" s="11">
        <v>0.6</v>
      </c>
      <c r="K204" s="11">
        <v>0.6</v>
      </c>
      <c r="L204" s="11">
        <v>0</v>
      </c>
      <c r="M204" s="11">
        <v>0.09</v>
      </c>
      <c r="N204" s="11">
        <v>0.09</v>
      </c>
      <c r="O204" s="11">
        <v>0</v>
      </c>
      <c r="P204" s="10">
        <v>121.7</v>
      </c>
      <c r="Q204" s="10">
        <v>109.5</v>
      </c>
    </row>
    <row r="205" spans="1:17" ht="18" x14ac:dyDescent="0.2">
      <c r="A205" s="20" t="s">
        <v>149</v>
      </c>
      <c r="B205" s="15">
        <v>66710</v>
      </c>
      <c r="C205" s="23">
        <v>2</v>
      </c>
      <c r="D205" t="s">
        <v>214</v>
      </c>
      <c r="E205" s="2" t="s">
        <v>18</v>
      </c>
      <c r="F205" s="9">
        <v>19</v>
      </c>
      <c r="G205" s="9">
        <v>85</v>
      </c>
      <c r="H205" s="10">
        <v>7.1</v>
      </c>
      <c r="I205" s="9">
        <v>607000</v>
      </c>
      <c r="J205" s="11">
        <v>0.1</v>
      </c>
      <c r="K205" s="11">
        <v>0</v>
      </c>
      <c r="L205" s="11">
        <v>0.1</v>
      </c>
      <c r="M205" s="11">
        <v>0.06</v>
      </c>
      <c r="N205" s="11">
        <v>0.02</v>
      </c>
      <c r="O205" s="11">
        <v>0.04</v>
      </c>
      <c r="P205" s="10">
        <v>96.4</v>
      </c>
      <c r="Q205" s="10">
        <v>101.5</v>
      </c>
    </row>
    <row r="206" spans="1:17" ht="18" x14ac:dyDescent="0.2">
      <c r="A206" s="20" t="s">
        <v>149</v>
      </c>
      <c r="B206" s="14">
        <v>15548</v>
      </c>
      <c r="C206" s="23">
        <v>2</v>
      </c>
      <c r="D206" t="s">
        <v>213</v>
      </c>
      <c r="E206" s="2" t="s">
        <v>29</v>
      </c>
      <c r="F206" s="9">
        <v>19</v>
      </c>
      <c r="G206" s="9">
        <v>85</v>
      </c>
      <c r="H206" s="10">
        <v>7.1</v>
      </c>
      <c r="I206" s="9">
        <v>607000</v>
      </c>
      <c r="J206" s="11">
        <v>0.1</v>
      </c>
      <c r="K206" s="11">
        <v>0</v>
      </c>
      <c r="L206" s="11">
        <v>0.1</v>
      </c>
      <c r="M206" s="11">
        <v>0.06</v>
      </c>
      <c r="N206" s="11">
        <v>0.02</v>
      </c>
      <c r="O206" s="11">
        <v>0.04</v>
      </c>
      <c r="P206" s="10">
        <v>96.4</v>
      </c>
      <c r="Q206" s="10">
        <v>101.5</v>
      </c>
    </row>
    <row r="207" spans="1:17" ht="18" x14ac:dyDescent="0.2">
      <c r="A207" s="20" t="s">
        <v>31</v>
      </c>
      <c r="B207" s="13">
        <v>214466</v>
      </c>
      <c r="C207" s="23">
        <v>13</v>
      </c>
      <c r="D207" t="s">
        <v>211</v>
      </c>
      <c r="E207" s="2" t="s">
        <v>29</v>
      </c>
      <c r="F207" s="9">
        <v>43</v>
      </c>
      <c r="G207" s="9">
        <v>1343</v>
      </c>
      <c r="H207" s="10">
        <v>18.8</v>
      </c>
      <c r="I207" s="9">
        <v>25297</v>
      </c>
      <c r="J207" s="11">
        <v>4.8</v>
      </c>
      <c r="K207" s="11">
        <v>3.4</v>
      </c>
      <c r="L207" s="11">
        <v>1.3</v>
      </c>
      <c r="M207" s="11">
        <v>0.14000000000000001</v>
      </c>
      <c r="N207" s="11">
        <v>0.1</v>
      </c>
      <c r="O207" s="11">
        <v>0.04</v>
      </c>
      <c r="P207" s="10">
        <v>108.5</v>
      </c>
      <c r="Q207" s="10">
        <v>102.1</v>
      </c>
    </row>
    <row r="208" spans="1:17" ht="18" x14ac:dyDescent="0.2">
      <c r="A208" s="20" t="s">
        <v>120</v>
      </c>
      <c r="B208" s="14">
        <v>78831</v>
      </c>
      <c r="C208" s="23">
        <v>1</v>
      </c>
      <c r="D208" t="s">
        <v>214</v>
      </c>
      <c r="E208" s="2" t="s">
        <v>25</v>
      </c>
      <c r="F208" s="9">
        <v>44</v>
      </c>
      <c r="G208" s="9">
        <v>1415</v>
      </c>
      <c r="H208" s="10">
        <v>16.399999999999999</v>
      </c>
      <c r="I208" s="9">
        <v>23171</v>
      </c>
      <c r="J208" s="11">
        <v>4.3</v>
      </c>
      <c r="K208" s="11">
        <v>3</v>
      </c>
      <c r="L208" s="11">
        <v>1.2</v>
      </c>
      <c r="M208" s="11">
        <v>0.12</v>
      </c>
      <c r="N208" s="11">
        <v>0.09</v>
      </c>
      <c r="O208" s="11">
        <v>0.03</v>
      </c>
      <c r="P208" s="10">
        <v>110</v>
      </c>
      <c r="Q208" s="10">
        <v>103.3</v>
      </c>
    </row>
    <row r="209" spans="1:17" ht="18" x14ac:dyDescent="0.2">
      <c r="A209" s="20" t="s">
        <v>85</v>
      </c>
      <c r="B209" s="14">
        <v>100000</v>
      </c>
      <c r="C209" s="23">
        <v>7</v>
      </c>
      <c r="D209" t="s">
        <v>212</v>
      </c>
      <c r="E209" s="2" t="s">
        <v>35</v>
      </c>
      <c r="F209" s="9">
        <v>30</v>
      </c>
      <c r="G209" s="9">
        <v>756</v>
      </c>
      <c r="H209" s="10">
        <v>12.7</v>
      </c>
      <c r="I209" s="9">
        <v>9586</v>
      </c>
      <c r="J209" s="11">
        <v>2.2999999999999998</v>
      </c>
      <c r="K209" s="11">
        <v>1.5</v>
      </c>
      <c r="L209" s="11">
        <v>0.8</v>
      </c>
      <c r="M209" s="11">
        <v>0.12</v>
      </c>
      <c r="N209" s="11">
        <v>0.08</v>
      </c>
      <c r="O209" s="11">
        <v>0.04</v>
      </c>
      <c r="P209" s="10">
        <v>117.6</v>
      </c>
      <c r="Q209" s="10">
        <v>102</v>
      </c>
    </row>
    <row r="210" spans="1:17" ht="18" x14ac:dyDescent="0.2">
      <c r="A210" s="20" t="s">
        <v>57</v>
      </c>
      <c r="B210" s="13">
        <v>170000</v>
      </c>
      <c r="C210" s="23">
        <v>12</v>
      </c>
      <c r="D210" t="s">
        <v>212</v>
      </c>
      <c r="E210" s="2" t="s">
        <v>29</v>
      </c>
      <c r="F210" s="9">
        <v>43</v>
      </c>
      <c r="G210" s="9">
        <v>653</v>
      </c>
      <c r="H210" s="10">
        <v>8.5</v>
      </c>
      <c r="I210" s="9">
        <v>5541</v>
      </c>
      <c r="J210" s="11">
        <v>1</v>
      </c>
      <c r="K210" s="11">
        <v>0.5</v>
      </c>
      <c r="L210" s="11">
        <v>0.5</v>
      </c>
      <c r="M210" s="11">
        <v>0.06</v>
      </c>
      <c r="N210" s="11">
        <v>0.03</v>
      </c>
      <c r="O210" s="11">
        <v>0.03</v>
      </c>
      <c r="P210" s="10">
        <v>102.3</v>
      </c>
      <c r="Q210" s="10">
        <v>104.2</v>
      </c>
    </row>
    <row r="211" spans="1:17" ht="18" x14ac:dyDescent="0.2">
      <c r="A211" s="20" t="s">
        <v>70</v>
      </c>
      <c r="B211" s="15">
        <v>125000</v>
      </c>
      <c r="C211" s="23">
        <v>8</v>
      </c>
      <c r="D211" t="s">
        <v>212</v>
      </c>
      <c r="E211" s="2" t="s">
        <v>29</v>
      </c>
      <c r="F211" s="9">
        <v>38</v>
      </c>
      <c r="G211" s="9">
        <v>541</v>
      </c>
      <c r="H211" s="10">
        <v>9.1</v>
      </c>
      <c r="I211" s="9">
        <v>4920</v>
      </c>
      <c r="J211" s="11">
        <v>0.7</v>
      </c>
      <c r="K211" s="11">
        <v>0.1</v>
      </c>
      <c r="L211" s="11">
        <v>0.6</v>
      </c>
      <c r="M211" s="11">
        <v>0.05</v>
      </c>
      <c r="N211" s="11">
        <v>0.01</v>
      </c>
      <c r="O211" s="11">
        <v>0.04</v>
      </c>
      <c r="P211" s="10">
        <v>94.5</v>
      </c>
      <c r="Q211" s="10">
        <v>101.4</v>
      </c>
    </row>
    <row r="212" spans="1:17" ht="18" x14ac:dyDescent="0.2">
      <c r="A212" s="20" t="s">
        <v>70</v>
      </c>
      <c r="B212" s="14">
        <v>35110</v>
      </c>
      <c r="C212" s="23">
        <v>8</v>
      </c>
      <c r="D212" t="s">
        <v>213</v>
      </c>
      <c r="E212" s="2" t="s">
        <v>29</v>
      </c>
      <c r="F212" s="9">
        <v>38</v>
      </c>
      <c r="G212" s="9">
        <v>541</v>
      </c>
      <c r="H212" s="10">
        <v>9.1</v>
      </c>
      <c r="I212" s="9">
        <v>4920</v>
      </c>
      <c r="J212" s="11">
        <v>0.7</v>
      </c>
      <c r="K212" s="11">
        <v>0.1</v>
      </c>
      <c r="L212" s="11">
        <v>0.6</v>
      </c>
      <c r="M212" s="11">
        <v>0.05</v>
      </c>
      <c r="N212" s="11">
        <v>0.01</v>
      </c>
      <c r="O212" s="11">
        <v>0.04</v>
      </c>
      <c r="P212" s="10">
        <v>94.5</v>
      </c>
      <c r="Q212" s="10">
        <v>101.4</v>
      </c>
    </row>
    <row r="213" spans="1:17" ht="18" x14ac:dyDescent="0.2">
      <c r="A213" s="20" t="s">
        <v>90</v>
      </c>
      <c r="B213" s="14">
        <v>93831</v>
      </c>
      <c r="C213" s="23">
        <v>4</v>
      </c>
      <c r="D213" t="s">
        <v>212</v>
      </c>
      <c r="E213" s="2" t="s">
        <v>54</v>
      </c>
      <c r="F213" s="9">
        <v>43</v>
      </c>
      <c r="G213" s="9">
        <v>1122</v>
      </c>
      <c r="H213" s="10">
        <v>9.8000000000000007</v>
      </c>
      <c r="I213" s="9">
        <v>11051</v>
      </c>
      <c r="J213" s="11">
        <v>1.1000000000000001</v>
      </c>
      <c r="K213" s="11">
        <v>0.5</v>
      </c>
      <c r="L213" s="11">
        <v>0.6</v>
      </c>
      <c r="M213" s="11">
        <v>0.04</v>
      </c>
      <c r="N213" s="11">
        <v>0.02</v>
      </c>
      <c r="O213" s="11">
        <v>0.02</v>
      </c>
      <c r="P213" s="10">
        <v>96.5</v>
      </c>
      <c r="Q213" s="10">
        <v>106.1</v>
      </c>
    </row>
    <row r="214" spans="1:17" ht="18" x14ac:dyDescent="0.2">
      <c r="A214" s="20" t="s">
        <v>95</v>
      </c>
      <c r="B214" s="14">
        <v>90000</v>
      </c>
      <c r="C214" s="23">
        <v>15</v>
      </c>
      <c r="D214" t="s">
        <v>212</v>
      </c>
      <c r="E214" s="2" t="s">
        <v>29</v>
      </c>
      <c r="F214" s="9">
        <v>30</v>
      </c>
      <c r="G214" s="9">
        <v>404</v>
      </c>
      <c r="H214" s="10">
        <v>5.9</v>
      </c>
      <c r="I214" s="9">
        <v>2365</v>
      </c>
      <c r="J214" s="11">
        <v>0.1</v>
      </c>
      <c r="K214" s="11">
        <v>-0.2</v>
      </c>
      <c r="L214" s="11">
        <v>0.3</v>
      </c>
      <c r="M214" s="11">
        <v>0.01</v>
      </c>
      <c r="N214" s="11">
        <v>-0.02</v>
      </c>
      <c r="O214" s="11">
        <v>0.03</v>
      </c>
      <c r="P214" s="10">
        <v>86.5</v>
      </c>
      <c r="Q214" s="10">
        <v>103.8</v>
      </c>
    </row>
    <row r="215" spans="1:17" ht="18" x14ac:dyDescent="0.2">
      <c r="A215" s="20" t="s">
        <v>160</v>
      </c>
      <c r="B215" s="14">
        <v>66079</v>
      </c>
      <c r="C215" s="23">
        <v>3</v>
      </c>
      <c r="D215" t="s">
        <v>214</v>
      </c>
      <c r="E215" s="2" t="s">
        <v>25</v>
      </c>
      <c r="F215" s="9">
        <v>17</v>
      </c>
      <c r="G215" s="9">
        <v>36</v>
      </c>
      <c r="H215" s="10">
        <v>5.5</v>
      </c>
      <c r="I215" s="9">
        <v>198000</v>
      </c>
      <c r="J215" s="11">
        <v>0</v>
      </c>
      <c r="K215" s="11">
        <v>-0.1</v>
      </c>
      <c r="L215" s="11">
        <v>0.1</v>
      </c>
      <c r="M215" s="11">
        <v>-0.02</v>
      </c>
      <c r="N215" s="11">
        <v>-0.11</v>
      </c>
      <c r="O215" s="11">
        <v>0.09</v>
      </c>
      <c r="P215" s="10">
        <v>64.900000000000006</v>
      </c>
      <c r="Q215" s="10">
        <v>91.6</v>
      </c>
    </row>
    <row r="216" spans="1:17" ht="18" x14ac:dyDescent="0.2">
      <c r="A216" s="20" t="s">
        <v>146</v>
      </c>
      <c r="B216" s="14">
        <v>69267</v>
      </c>
      <c r="C216" s="23">
        <v>3</v>
      </c>
      <c r="D216" t="s">
        <v>214</v>
      </c>
      <c r="E216" s="2" t="s">
        <v>25</v>
      </c>
      <c r="F216" s="9">
        <v>43</v>
      </c>
      <c r="G216" s="9">
        <v>720</v>
      </c>
      <c r="H216" s="10">
        <v>13.2</v>
      </c>
      <c r="I216" s="9">
        <v>9488</v>
      </c>
      <c r="J216" s="11">
        <v>2</v>
      </c>
      <c r="K216" s="11">
        <v>1.2</v>
      </c>
      <c r="L216" s="11">
        <v>0.9</v>
      </c>
      <c r="M216" s="11">
        <v>0.11</v>
      </c>
      <c r="N216" s="11">
        <v>7.0000000000000007E-2</v>
      </c>
      <c r="O216" s="11">
        <v>0.05</v>
      </c>
      <c r="P216" s="10">
        <v>107.7</v>
      </c>
      <c r="Q216" s="10">
        <v>100.7</v>
      </c>
    </row>
    <row r="217" spans="1:17" ht="18" x14ac:dyDescent="0.2">
      <c r="A217" s="20" t="s">
        <v>42</v>
      </c>
      <c r="B217" s="15">
        <v>201400</v>
      </c>
      <c r="C217" s="23">
        <v>7</v>
      </c>
      <c r="D217" t="s">
        <v>212</v>
      </c>
      <c r="E217" s="2" t="s">
        <v>35</v>
      </c>
      <c r="F217" s="9">
        <v>17</v>
      </c>
      <c r="G217" s="9">
        <v>219</v>
      </c>
      <c r="H217" s="10">
        <v>19.600000000000001</v>
      </c>
      <c r="I217" s="9">
        <v>4280</v>
      </c>
      <c r="J217" s="11">
        <v>0.7</v>
      </c>
      <c r="K217" s="11">
        <v>0.5</v>
      </c>
      <c r="L217" s="11">
        <v>0.2</v>
      </c>
      <c r="M217" s="11">
        <v>0.13</v>
      </c>
      <c r="N217" s="11">
        <v>0.1</v>
      </c>
      <c r="O217" s="11">
        <v>0.03</v>
      </c>
      <c r="P217" s="10">
        <v>113</v>
      </c>
      <c r="Q217" s="10">
        <v>104.5</v>
      </c>
    </row>
    <row r="218" spans="1:17" ht="18" x14ac:dyDescent="0.2">
      <c r="A218" s="20" t="s">
        <v>96</v>
      </c>
      <c r="B218" s="14">
        <v>90000</v>
      </c>
      <c r="C218" s="23">
        <v>8</v>
      </c>
      <c r="D218" t="s">
        <v>212</v>
      </c>
      <c r="E218" s="2" t="s">
        <v>54</v>
      </c>
      <c r="F218" s="9">
        <v>39</v>
      </c>
      <c r="G218" s="9">
        <v>925</v>
      </c>
      <c r="H218" s="10">
        <v>12.8</v>
      </c>
      <c r="I218" s="9">
        <v>11845</v>
      </c>
      <c r="J218" s="11">
        <v>2.4</v>
      </c>
      <c r="K218" s="11">
        <v>1</v>
      </c>
      <c r="L218" s="11">
        <v>1.3</v>
      </c>
      <c r="M218" s="11">
        <v>0.1</v>
      </c>
      <c r="N218" s="11">
        <v>0.04</v>
      </c>
      <c r="O218" s="11">
        <v>0.06</v>
      </c>
      <c r="P218" s="10">
        <v>102.9</v>
      </c>
      <c r="Q218" s="10">
        <v>98.5</v>
      </c>
    </row>
    <row r="219" spans="1:17" ht="18" x14ac:dyDescent="0.2">
      <c r="A219" s="20" t="s">
        <v>43</v>
      </c>
      <c r="B219" s="14">
        <v>200000</v>
      </c>
      <c r="C219" s="23">
        <v>13</v>
      </c>
      <c r="D219" t="s">
        <v>212</v>
      </c>
      <c r="E219" s="2" t="s">
        <v>29</v>
      </c>
      <c r="F219" s="9">
        <v>26</v>
      </c>
      <c r="G219" s="9">
        <v>700</v>
      </c>
      <c r="H219" s="10">
        <v>14.1</v>
      </c>
      <c r="I219" s="9">
        <v>9863</v>
      </c>
      <c r="J219" s="11">
        <v>2</v>
      </c>
      <c r="K219" s="11">
        <v>1.3</v>
      </c>
      <c r="L219" s="11">
        <v>0.7</v>
      </c>
      <c r="M219" s="11">
        <v>0.12</v>
      </c>
      <c r="N219" s="11">
        <v>0.08</v>
      </c>
      <c r="O219" s="11">
        <v>0.04</v>
      </c>
      <c r="P219" s="10">
        <v>106.7</v>
      </c>
      <c r="Q219" s="10">
        <v>101.9</v>
      </c>
    </row>
    <row r="220" spans="1:17" ht="18" x14ac:dyDescent="0.2">
      <c r="A220" s="20" t="s">
        <v>173</v>
      </c>
      <c r="B220" s="14">
        <v>42397</v>
      </c>
      <c r="C220" s="23">
        <v>10</v>
      </c>
      <c r="D220" t="s">
        <v>213</v>
      </c>
      <c r="E220" s="2" t="s">
        <v>29</v>
      </c>
      <c r="F220" s="9">
        <v>39</v>
      </c>
      <c r="G220" s="9">
        <v>510</v>
      </c>
      <c r="H220" s="10">
        <v>6</v>
      </c>
      <c r="I220" s="9">
        <v>3071</v>
      </c>
      <c r="J220" s="11">
        <v>0.4</v>
      </c>
      <c r="K220" s="11">
        <v>0</v>
      </c>
      <c r="L220" s="11">
        <v>0.4</v>
      </c>
      <c r="M220" s="11">
        <v>0.03</v>
      </c>
      <c r="N220" s="11">
        <v>0</v>
      </c>
      <c r="O220" s="11">
        <v>0.03</v>
      </c>
      <c r="P220" s="10">
        <v>92.8</v>
      </c>
      <c r="Q220" s="10">
        <v>104.5</v>
      </c>
    </row>
    <row r="221" spans="1:17" ht="18" x14ac:dyDescent="0.2">
      <c r="A221" s="20" t="s">
        <v>173</v>
      </c>
      <c r="B221" s="15">
        <v>40789</v>
      </c>
      <c r="C221" s="23">
        <v>10</v>
      </c>
      <c r="D221" t="s">
        <v>213</v>
      </c>
      <c r="E221" s="2" t="s">
        <v>29</v>
      </c>
      <c r="F221" s="9">
        <v>39</v>
      </c>
      <c r="G221" s="9">
        <v>510</v>
      </c>
      <c r="H221" s="10">
        <v>6</v>
      </c>
      <c r="I221" s="9">
        <v>3071</v>
      </c>
      <c r="J221" s="11">
        <v>0.4</v>
      </c>
      <c r="K221" s="11">
        <v>0</v>
      </c>
      <c r="L221" s="11">
        <v>0.4</v>
      </c>
      <c r="M221" s="11">
        <v>0.03</v>
      </c>
      <c r="N221" s="11">
        <v>0</v>
      </c>
      <c r="O221" s="11">
        <v>0.03</v>
      </c>
      <c r="P221" s="10">
        <v>92.8</v>
      </c>
      <c r="Q221" s="10">
        <v>104.5</v>
      </c>
    </row>
    <row r="222" spans="1:17" ht="18" x14ac:dyDescent="0.2">
      <c r="A222" s="20" t="s">
        <v>58</v>
      </c>
      <c r="B222" s="13">
        <v>170000</v>
      </c>
      <c r="C222" s="23">
        <v>16</v>
      </c>
      <c r="D222" t="s">
        <v>212</v>
      </c>
      <c r="E222" s="2" t="s">
        <v>29</v>
      </c>
      <c r="F222" s="9">
        <v>43</v>
      </c>
      <c r="G222" s="9">
        <v>1222</v>
      </c>
      <c r="H222" s="10">
        <v>17.899999999999999</v>
      </c>
      <c r="I222" s="9">
        <v>21819</v>
      </c>
      <c r="J222" s="11">
        <v>2.2000000000000002</v>
      </c>
      <c r="K222" s="11">
        <v>1.9</v>
      </c>
      <c r="L222" s="11">
        <v>0.2</v>
      </c>
      <c r="M222" s="11">
        <v>7.0000000000000007E-2</v>
      </c>
      <c r="N222" s="11">
        <v>0.06</v>
      </c>
      <c r="O222" s="11">
        <v>0.01</v>
      </c>
      <c r="P222" s="10">
        <v>101.6</v>
      </c>
      <c r="Q222" s="10">
        <v>108.5</v>
      </c>
    </row>
    <row r="223" spans="1:17" ht="18" x14ac:dyDescent="0.2">
      <c r="A223" s="20" t="s">
        <v>80</v>
      </c>
      <c r="B223" s="14">
        <v>100013</v>
      </c>
      <c r="C223" s="23">
        <v>6</v>
      </c>
      <c r="D223" t="s">
        <v>212</v>
      </c>
      <c r="E223" s="2" t="s">
        <v>18</v>
      </c>
      <c r="F223" s="9">
        <v>5</v>
      </c>
      <c r="G223" s="9">
        <v>82</v>
      </c>
      <c r="H223" s="10">
        <v>13.4</v>
      </c>
      <c r="I223" s="9">
        <v>1104</v>
      </c>
      <c r="J223" s="11">
        <v>0.2</v>
      </c>
      <c r="K223" s="11">
        <v>0.2</v>
      </c>
      <c r="L223" s="11">
        <v>0</v>
      </c>
      <c r="M223" s="11">
        <v>0.09</v>
      </c>
      <c r="N223" s="11">
        <v>0.1</v>
      </c>
      <c r="O223" s="11">
        <v>-0.01</v>
      </c>
      <c r="P223" s="10">
        <v>124.9</v>
      </c>
      <c r="Q223" s="10">
        <v>111.3</v>
      </c>
    </row>
    <row r="224" spans="1:17" ht="18" x14ac:dyDescent="0.2">
      <c r="A224" s="20" t="s">
        <v>78</v>
      </c>
      <c r="B224" s="14">
        <v>103831</v>
      </c>
      <c r="C224" s="23">
        <v>4</v>
      </c>
      <c r="D224" t="s">
        <v>212</v>
      </c>
      <c r="E224" s="2" t="s">
        <v>29</v>
      </c>
      <c r="F224" s="9">
        <v>44</v>
      </c>
      <c r="G224" s="9">
        <v>1292</v>
      </c>
      <c r="H224" s="10">
        <v>19</v>
      </c>
      <c r="I224" s="9">
        <v>24566</v>
      </c>
      <c r="J224" s="11">
        <v>6.1</v>
      </c>
      <c r="K224" s="11">
        <v>4.3</v>
      </c>
      <c r="L224" s="11">
        <v>1.8</v>
      </c>
      <c r="M224" s="11">
        <v>0.19</v>
      </c>
      <c r="N224" s="11">
        <v>0.13</v>
      </c>
      <c r="O224" s="11">
        <v>0.06</v>
      </c>
      <c r="P224" s="10">
        <v>117.1</v>
      </c>
      <c r="Q224" s="10">
        <v>99.1</v>
      </c>
    </row>
    <row r="225" spans="1:17" ht="18" x14ac:dyDescent="0.2">
      <c r="A225" s="20" t="s">
        <v>99</v>
      </c>
      <c r="B225" s="15">
        <v>85000</v>
      </c>
      <c r="C225" s="23">
        <v>12</v>
      </c>
      <c r="D225" t="s">
        <v>212</v>
      </c>
      <c r="E225" s="2" t="s">
        <v>29</v>
      </c>
      <c r="F225" s="9">
        <v>1</v>
      </c>
      <c r="G225" s="9">
        <v>12</v>
      </c>
      <c r="H225" s="10">
        <v>1.1000000000000001</v>
      </c>
      <c r="I225" s="9">
        <v>13000</v>
      </c>
      <c r="J225" s="11">
        <v>0</v>
      </c>
      <c r="K225" s="11">
        <v>0</v>
      </c>
      <c r="L225" s="11">
        <v>0</v>
      </c>
      <c r="M225" s="11">
        <v>0.01</v>
      </c>
      <c r="N225" s="11">
        <v>-0.11</v>
      </c>
      <c r="O225" s="11">
        <v>0.12</v>
      </c>
      <c r="P225" s="10">
        <v>50.2</v>
      </c>
      <c r="Q225" s="10">
        <v>86.5</v>
      </c>
    </row>
    <row r="226" spans="1:17" ht="18" x14ac:dyDescent="0.2">
      <c r="A226" s="20" t="s">
        <v>99</v>
      </c>
      <c r="B226" s="15">
        <v>7774</v>
      </c>
      <c r="C226" s="23">
        <v>12</v>
      </c>
      <c r="D226" t="s">
        <v>213</v>
      </c>
      <c r="E226" s="2" t="s">
        <v>29</v>
      </c>
      <c r="F226" s="9">
        <v>1</v>
      </c>
      <c r="G226" s="9">
        <v>12</v>
      </c>
      <c r="H226" s="10">
        <v>1.1000000000000001</v>
      </c>
      <c r="I226" s="9">
        <v>13000</v>
      </c>
      <c r="J226" s="11">
        <v>0</v>
      </c>
      <c r="K226" s="11">
        <v>0</v>
      </c>
      <c r="L226" s="11">
        <v>0</v>
      </c>
      <c r="M226" s="11">
        <v>0.01</v>
      </c>
      <c r="N226" s="11">
        <v>-0.11</v>
      </c>
      <c r="O226" s="11">
        <v>0.12</v>
      </c>
      <c r="P226" s="10">
        <v>50.2</v>
      </c>
      <c r="Q226" s="10">
        <v>86.5</v>
      </c>
    </row>
    <row r="227" spans="1:17" ht="18" x14ac:dyDescent="0.2">
      <c r="A227" s="20" t="s">
        <v>151</v>
      </c>
      <c r="B227" s="15">
        <v>66079</v>
      </c>
      <c r="C227" s="23">
        <v>4</v>
      </c>
      <c r="D227" t="s">
        <v>215</v>
      </c>
      <c r="E227" s="2" t="s">
        <v>29</v>
      </c>
      <c r="F227" s="9">
        <v>26</v>
      </c>
      <c r="G227" s="9">
        <v>261</v>
      </c>
      <c r="H227" s="10">
        <v>5.8</v>
      </c>
      <c r="I227" s="9">
        <v>1524</v>
      </c>
      <c r="J227" s="11">
        <v>-0.1</v>
      </c>
      <c r="K227" s="11">
        <v>-0.3</v>
      </c>
      <c r="L227" s="11">
        <v>0.2</v>
      </c>
      <c r="M227" s="11">
        <v>-0.01</v>
      </c>
      <c r="N227" s="11">
        <v>-0.04</v>
      </c>
      <c r="O227" s="11">
        <v>0.03</v>
      </c>
      <c r="P227" s="10">
        <v>83.2</v>
      </c>
      <c r="Q227" s="10">
        <v>103.3</v>
      </c>
    </row>
    <row r="228" spans="1:17" ht="18" x14ac:dyDescent="0.2">
      <c r="A228" s="20" t="s">
        <v>151</v>
      </c>
      <c r="B228" s="14">
        <v>13882</v>
      </c>
      <c r="C228" s="23">
        <v>4</v>
      </c>
      <c r="D228" t="s">
        <v>213</v>
      </c>
      <c r="E228" s="2" t="s">
        <v>29</v>
      </c>
      <c r="F228" s="9">
        <v>26</v>
      </c>
      <c r="G228" s="9">
        <v>261</v>
      </c>
      <c r="H228" s="10">
        <v>5.8</v>
      </c>
      <c r="I228" s="9">
        <v>1524</v>
      </c>
      <c r="J228" s="11">
        <v>-0.1</v>
      </c>
      <c r="K228" s="11">
        <v>-0.3</v>
      </c>
      <c r="L228" s="11">
        <v>0.2</v>
      </c>
      <c r="M228" s="11">
        <v>-0.01</v>
      </c>
      <c r="N228" s="11">
        <v>-0.04</v>
      </c>
      <c r="O228" s="11">
        <v>0.03</v>
      </c>
      <c r="P228" s="10">
        <v>83.2</v>
      </c>
      <c r="Q228" s="10">
        <v>103.3</v>
      </c>
    </row>
  </sheetData>
  <sortState xmlns:xlrd2="http://schemas.microsoft.com/office/spreadsheetml/2017/richdata2" ref="A2:Q228">
    <sortCondition ref="A188:A228"/>
  </sortState>
  <hyperlinks>
    <hyperlink ref="A10" r:id="rId1" display="https://herhoopstats.com/stats/wnba/player/aerial-powers-stats-11eaecc7-404e-cc36-b611-2362f5011b0b/" xr:uid="{60AE9DFA-B0F0-1D49-A52F-D3431AD048FF}"/>
    <hyperlink ref="A53" r:id="rId2" display="https://herhoopstats.com/stats/wnba/player/christyn-williams-stats-11eccc25-118b-199c-ba73-12df17ae4e1e/" xr:uid="{6768FB1C-B4A6-2D48-80AE-D9B12827BDAE}"/>
    <hyperlink ref="A12" r:id="rId3" display="https://herhoopstats.com/stats/wnba/player/ajae-petty-stats-11f02f7d-4427-283c-be47-12df17ae4e1e/" xr:uid="{B8A96D31-99BB-BE4B-8A9D-652ABCB6ADB4}"/>
    <hyperlink ref="A77" r:id="rId4" display="https://herhoopstats.com/stats/wnba/player/grace-berger-stats-11edf6b6-b027-5a2c-bd52-024276bea302/" xr:uid="{87627E4A-7F10-DF41-89C5-B3F93DA58125}"/>
    <hyperlink ref="A204" r:id="rId5" display="https://herhoopstats.com/stats/wnba/player/shey-peddy-stats-11eaecc7-494a-ffbc-b611-2362f5011b0b/" xr:uid="{9BF7D969-D924-804E-AD28-61A98F6932B9}"/>
    <hyperlink ref="A11" r:id="rId6" display="https://herhoopstats.com/stats/wnba/player/ajae-petty-stats-11f02f7d-4427-283c-be47-12df17ae4e1e/" xr:uid="{FC89242A-11BE-B249-A0D2-718BF735F22C}"/>
    <hyperlink ref="A23" r:id="rId7" display="https://herhoopstats.com/stats/wnba/player/amy-okonkwo-stats-11ebb4ed-e2df-a904-9185-12df17ae4e1e/" xr:uid="{F03406FE-82F2-644B-8F6D-66B4B1187EA5}"/>
    <hyperlink ref="A131" r:id="rId8" display="https://herhoopstats.com/stats/wnba/player/kyra-lambert-stats-11f07932-3df5-f5c0-8820-12df17ae4e1e/" xr:uid="{E58C50CC-1827-F54A-9C1B-FDA7D026A5D2}"/>
    <hyperlink ref="A51" r:id="rId9" display="https://herhoopstats.com/stats/wnba/player/chloe-bibby-stats-11eccc25-0650-0d58-ba73-12df17ae4e1e/" xr:uid="{CE16273E-892D-8341-8666-CE6458E208AD}"/>
    <hyperlink ref="A34" r:id="rId10" display="https://herhoopstats.com/stats/wnba/player/bree-hall-stats-11f02f7d-1d09-c69c-be47-12df17ae4e1e/" xr:uid="{B12B282E-4310-6E49-A83C-280856FDAEFA}"/>
    <hyperlink ref="A157" r:id="rId11" display="https://herhoopstats.com/stats/wnba/player/marquesha-davis-stats-11ef10cc-5bb7-1a28-b390-a0c589f521ca/" xr:uid="{226CA3FF-DAB4-D446-A491-9014B1FEFE66}"/>
    <hyperlink ref="A66" r:id="rId12" display="https://herhoopstats.com/stats/wnba/player/elizabeth-kitley-stats-11f02f7c-f23d-6f0e-be47-12df17ae4e1e/" xr:uid="{2252CE44-1BAE-3B47-B282-DFD07A87A3BE}"/>
    <hyperlink ref="A9" r:id="rId13" display="https://herhoopstats.com/stats/wnba/player/aerial-powers-stats-11eaecc7-404e-cc36-b611-2362f5011b0b/" xr:uid="{D1F871FA-E4A3-B04D-BF55-9596E54D9223}"/>
    <hyperlink ref="A14" r:id="rId14" display="https://herhoopstats.com/stats/wnba/player/alexis-prince-stats-11eaecea-d25c-b480-934f-8b50fcb63fde/" xr:uid="{A7DE6846-0364-9B49-B1C5-B20CFEC961F0}"/>
    <hyperlink ref="A33" r:id="rId15" display="https://herhoopstats.com/stats/wnba/player/bree-hall-stats-11f02f7d-1d09-c69c-be47-12df17ae4e1e/" xr:uid="{7EAABD9C-6E10-EA40-8978-5E9D99E84F71}"/>
    <hyperlink ref="A148" r:id="rId16" display="https://herhoopstats.com/stats/wnba/player/madison-scott-stats-11f02f7d-44ac-14fc-be47-12df17ae4e1e/" xr:uid="{A3F19783-5304-9244-B92F-3AD46E3B1310}"/>
    <hyperlink ref="A81" r:id="rId17" display="https://herhoopstats.com/stats/wnba/player/haley-jones-stats-11edf6b6-e860-374c-b638-024276bea302/" xr:uid="{75C7E781-061A-7943-A04B-2ACF61B3150D}"/>
    <hyperlink ref="A140" r:id="rId18" display="https://herhoopstats.com/stats/wnba/player/liatu-king-stats-11f02f7d-2d73-639e-be47-12df17ae4e1e/" xr:uid="{1CEE0C9B-6440-9741-8664-E3E16A6756B0}"/>
    <hyperlink ref="A197" r:id="rId19" display="https://herhoopstats.com/stats/wnba/player/serena-sundell-stats-11f02f7c-f120-b11c-be47-12df17ae4e1e/" xr:uid="{62EFE341-C908-4A4F-9869-B6D62285B3EC}"/>
    <hyperlink ref="A80" r:id="rId20" display="https://herhoopstats.com/stats/wnba/player/haley-jones-stats-11edf6b6-e860-374c-b638-024276bea302/" xr:uid="{787CBBBA-CE03-5E49-B4EA-B04F3E49B05A}"/>
    <hyperlink ref="A6" r:id="rId21" display="https://herhoopstats.com/stats/wnba/player/aari-mcdonald-stats-11ebb4ec-f33d-5a86-9a0e-12df17ae4e1e/" xr:uid="{4ED5CF88-9B56-E74F-81D5-BC433E8B0982}"/>
    <hyperlink ref="A52" r:id="rId22" display="https://herhoopstats.com/stats/wnba/player/christyn-williams-stats-11eccc25-118b-199c-ba73-12df17ae4e1e/" xr:uid="{77592548-EC8A-824F-A40E-02FDB4A17DE7}"/>
    <hyperlink ref="A106" r:id="rId23" display="https://herhoopstats.com/stats/wnba/player/kaila-charles-stats-11eaecc7-3dfd-1fdc-b611-2362f5011b0b/" xr:uid="{8D6C9719-0677-2542-95B1-F5645598CC75}"/>
    <hyperlink ref="A22" r:id="rId24" display="https://herhoopstats.com/stats/wnba/player/amy-okonkwo-stats-11ebb4ed-e2df-a904-9185-12df17ae4e1e/" xr:uid="{9DD228FE-30E4-5941-AB83-C7F679A3C1C3}"/>
    <hyperlink ref="A109" r:id="rId25" display="https://herhoopstats.com/stats/wnba/player/kamiah-smalls-stats-11eaecc7-3f52-ac12-b611-2362f5011b0b/" xr:uid="{B06AB194-C2CB-7748-B26B-58B88FC00357}"/>
    <hyperlink ref="A226" r:id="rId26" display="https://herhoopstats.com/stats/wnba/player/yvonne-anderson-stats-11eccc24-de9c-6ce8-ba73-12df17ae4e1e/" xr:uid="{8B17A87D-8715-4649-B1D5-61E1E34FBF50}"/>
    <hyperlink ref="A180" r:id="rId27" display="https://herhoopstats.com/stats/wnba/player/odyssey-sims-stats-11eaecc7-47f4-5ece-b611-2362f5011b0b/" xr:uid="{C47D3528-957B-3B46-A995-9A0C213B4428}"/>
    <hyperlink ref="A44" r:id="rId28" display="https://herhoopstats.com/stats/wnba/player/camryn-taylor-stats-11ef10cc-bdd9-895c-b390-a0c589f521ca/" xr:uid="{744A2F18-5625-0C47-BE4C-CD8FA16D5FA6}"/>
    <hyperlink ref="A8" r:id="rId29" display="https://herhoopstats.com/stats/wnba/player/aerial-powers-stats-11eaecc7-404e-cc36-b611-2362f5011b0b/" xr:uid="{7A21B7EF-7FB5-6D44-B852-BF3637550D13}"/>
    <hyperlink ref="A203" r:id="rId30" display="https://herhoopstats.com/stats/wnba/player/shey-peddy-stats-11eaecc7-494a-ffbc-b611-2362f5011b0b/" xr:uid="{F8A6A21A-8984-294F-B4E3-A8C582C66B63}"/>
    <hyperlink ref="A126" r:id="rId31" display="https://herhoopstats.com/stats/wnba/player/kiana-williams-stats-11ebb4ec-f541-2736-9a0e-12df17ae4e1e/" xr:uid="{69901FEA-D5DB-CF49-9712-7B028E39A35D}"/>
    <hyperlink ref="A50" r:id="rId32" display="https://herhoopstats.com/stats/wnba/player/chloe-bibby-stats-11eccc25-0650-0d58-ba73-12df17ae4e1e/" xr:uid="{AF3E907D-C8FA-A140-A1DC-B2FB440F8D50}"/>
    <hyperlink ref="A17" r:id="rId33" display="https://herhoopstats.com/stats/wnba/player/alissa-pili-stats-11ef10cc-7ef5-9d5c-b390-a0c589f521ca/" xr:uid="{3688AD9D-5DB9-9640-A285-AF770856C864}"/>
    <hyperlink ref="A199" r:id="rId34" display="https://herhoopstats.com/stats/wnba/player/sevgi-uzun-stats-11ef10cc-9e7f-3750-b390-a0c589f521ca/" xr:uid="{B7304056-C5F2-F14C-AB6C-6D9B2EFD65C2}"/>
    <hyperlink ref="A190" r:id="rId35" display="https://herhoopstats.com/stats/wnba/player/robyn-parks-stats-11edf5c8-5695-90c6-a962-024250b8c764/" xr:uid="{AA5BE48E-14CF-6E4D-88F1-9E43705F900A}"/>
    <hyperlink ref="A76" r:id="rId36" display="https://herhoopstats.com/stats/wnba/player/grace-berger-stats-11edf6b6-b027-5a2c-bd52-024276bea302/" xr:uid="{A8B2C800-940F-274A-B4D0-4A1B1D014043}"/>
    <hyperlink ref="A16" r:id="rId37" display="https://herhoopstats.com/stats/wnba/player/alissa-pili-stats-11ef10cc-7ef5-9d5c-b390-a0c589f521ca/" xr:uid="{D9604A6A-567F-B749-9EC9-BD5BEE76C58C}"/>
    <hyperlink ref="A125" r:id="rId38" display="https://herhoopstats.com/stats/wnba/player/kiana-williams-stats-11ebb4ec-f541-2736-9a0e-12df17ae4e1e/" xr:uid="{323DAD93-F177-F84B-860E-FE35CF8D8184}"/>
    <hyperlink ref="A147" r:id="rId39" display="https://herhoopstats.com/stats/wnba/player/madison-scott-stats-11f02f7d-44ac-14fc-be47-12df17ae4e1e/" xr:uid="{5A226BBD-89AA-9F40-AD5C-53B7B1B32D0B}"/>
    <hyperlink ref="A151" r:id="rId40" display="https://herhoopstats.com/stats/wnba/player/mamignan-tour%C3%A9-stats-11f02f7d-01a9-5516-be47-12df17ae4e1e/" xr:uid="{6CAA72B9-2E30-E64B-B03A-821C550E4043}"/>
    <hyperlink ref="A43" r:id="rId41" display="https://herhoopstats.com/stats/wnba/player/camryn-taylor-stats-11ef10cc-bdd9-895c-b390-a0c589f521ca/" xr:uid="{0F4EC1B5-B273-F14C-BD1E-039E3D85BF61}"/>
    <hyperlink ref="A7" r:id="rId42" display="https://herhoopstats.com/stats/wnba/player/aerial-powers-stats-11eaecc7-404e-cc36-b611-2362f5011b0b/" xr:uid="{9EF6A941-ACCB-6046-BBD2-F3282CDB2F90}"/>
    <hyperlink ref="A153" r:id="rId43" display="https://herhoopstats.com/stats/wnba/player/mari%C3%A8me-badiane-stats-11f02f7c-f7b3-f732-be47-12df17ae4e1e/" xr:uid="{6452689C-D726-2A4A-90F4-1BADF5EA39DA}"/>
    <hyperlink ref="A124" r:id="rId44" display="https://herhoopstats.com/stats/wnba/player/kiana-williams-stats-11ebb4ec-f541-2736-9a0e-12df17ae4e1e/" xr:uid="{A860375C-9BFC-4842-B2A2-03712035248F}"/>
    <hyperlink ref="A32" r:id="rId45" display="https://herhoopstats.com/stats/wnba/player/bree-hall-stats-11f02f7d-1d09-c69c-be47-12df17ae4e1e/" xr:uid="{CE8F7689-A0DB-104A-BB88-A7DB75F995E7}"/>
    <hyperlink ref="A228" r:id="rId46" display="https://herhoopstats.com/stats/wnba/player/zia-cooke-stats-11edf6b7-148b-5b94-b638-024276bea302/" xr:uid="{CB7787CE-F27A-2E47-BFA1-8B3B3B91ACB6}"/>
    <hyperlink ref="A202" r:id="rId47" display="https://herhoopstats.com/stats/wnba/player/shey-peddy-stats-11eaecc7-494a-ffbc-b611-2362f5011b0b/" xr:uid="{69BEFE87-3798-4749-8516-A26FE0A692D3}"/>
    <hyperlink ref="A105" r:id="rId48" display="https://herhoopstats.com/stats/wnba/player/kaila-charles-stats-11eaecc7-3dfd-1fdc-b611-2362f5011b0b/" xr:uid="{49F314D8-B5ED-774C-A953-F271DE4ED76B}"/>
    <hyperlink ref="A179" r:id="rId49" display="https://herhoopstats.com/stats/wnba/player/odyssey-sims-stats-11eaecc7-47f4-5ece-b611-2362f5011b0b/" xr:uid="{2690E34D-B24E-E34A-8DB1-EC16002B1A13}"/>
    <hyperlink ref="A84" r:id="rId50" display="https://herhoopstats.com/stats/wnba/player/haley-peters-stats-11eaecc7-5587-a8ac-b611-2362f5011b0b/" xr:uid="{9EE2C4BA-047D-B04B-826F-BAFC87AB77FB}"/>
    <hyperlink ref="A104" r:id="rId51" display="https://herhoopstats.com/stats/wnba/player/kaila-charles-stats-11eaecc7-3dfd-1fdc-b611-2362f5011b0b/" xr:uid="{789EADB5-6196-914F-A993-BE0C4C045679}"/>
    <hyperlink ref="A130" r:id="rId52" display="https://herhoopstats.com/stats/wnba/player/kyara-linskens-stats-11f02f7c-ffb9-e3ba-be47-12df17ae4e1e/" xr:uid="{F44F906F-EF98-1F49-BCB7-F61C16F7CF3F}"/>
    <hyperlink ref="A206" r:id="rId53" display="https://herhoopstats.com/stats/wnba/player/sika-kone-stats-11eccc24-e412-3400-ba73-12df17ae4e1e/" xr:uid="{97DD8DD8-2F40-2847-B59A-AFB91FEE21B2}"/>
    <hyperlink ref="A56" r:id="rId54" display="https://herhoopstats.com/stats/wnba/player/crystal-bradford-stats-11eaecc7-5db3-2042-b611-2362f5011b0b/" xr:uid="{1F380EF8-3182-094E-8DD6-1A94261823C0}"/>
    <hyperlink ref="A139" r:id="rId55" display="https://herhoopstats.com/stats/wnba/player/liatu-king-stats-11f02f7d-2d73-639e-be47-12df17ae4e1e/" xr:uid="{8EC5DBAA-71B4-8047-BDF3-B16EF8F49A65}"/>
    <hyperlink ref="A75" r:id="rId56" display="https://herhoopstats.com/stats/wnba/player/grace-berger-stats-11edf6b6-b027-5a2c-bd52-024276bea302/" xr:uid="{F75089F6-A0F2-1743-B88A-6140BD6931E5}"/>
    <hyperlink ref="A99" r:id="rId57" display="https://herhoopstats.com/stats/wnba/player/joyner-holmes-stats-11eaecc7-4295-57a8-b611-2362f5011b0b/" xr:uid="{58317EA7-B265-AA41-B549-08A9257E8060}"/>
    <hyperlink ref="A150" r:id="rId58" display="https://herhoopstats.com/stats/wnba/player/mamignan-tour%C3%A9-stats-11f02f7d-01a9-5516-be47-12df17ae4e1e/" xr:uid="{37601745-BC74-2E4E-A8E7-3146E0E80193}"/>
    <hyperlink ref="A93" r:id="rId59" display="https://herhoopstats.com/stats/wnba/player/jaylyn-sherrod-stats-11ef10cc-5d9a-e86a-b390-a0c589f521ca/" xr:uid="{B3721D6A-C8B6-C546-AA67-DF3C4C9DA333}"/>
    <hyperlink ref="A103" r:id="rId60" display="https://herhoopstats.com/stats/wnba/player/kaila-charles-stats-11eaecc7-3dfd-1fdc-b611-2362f5011b0b/" xr:uid="{3D22B801-3933-304A-A4A2-AA5106B61683}"/>
    <hyperlink ref="A49" r:id="rId61" display="https://herhoopstats.com/stats/wnba/player/chloe-bibby-stats-11eccc25-0650-0d58-ba73-12df17ae4e1e/" xr:uid="{2BC99D00-3BA8-7C48-9974-5D077CB0CA33}"/>
    <hyperlink ref="A83" r:id="rId62" display="https://herhoopstats.com/stats/wnba/player/haley-peters-stats-11eaecc7-5587-a8ac-b611-2362f5011b0b/" xr:uid="{6298D070-77F5-B547-95FD-C876291B2E4E}"/>
    <hyperlink ref="A198" r:id="rId63" display="https://herhoopstats.com/stats/wnba/player/sevgi-uzun-stats-11ef10cc-9e7f-3750-b390-a0c589f521ca/" xr:uid="{6A2ADACA-07CE-7B4D-B16B-82C856607A8E}"/>
    <hyperlink ref="A111" r:id="rId64" display="https://herhoopstats.com/stats/wnba/player/kariata-diaby-stats-11f02f7c-e20c-8f16-be47-12df17ae4e1e/" xr:uid="{37C3F68F-01A0-294B-B5DF-78EB47612464}"/>
    <hyperlink ref="A65" r:id="rId65" display="https://herhoopstats.com/stats/wnba/player/elizabeth-kitley-stats-11f02f7c-f23d-6f0e-be47-12df17ae4e1e/" xr:uid="{BF8DAC87-34BD-6F48-BAEF-AFE1F532B065}"/>
    <hyperlink ref="A166" r:id="rId66" display="https://herhoopstats.com/stats/wnba/player/murjanatu-musa-stats-11f02f7c-fba8-53ce-be47-12df17ae4e1e/" xr:uid="{EE90BF72-1A24-E541-A049-1BDAD0E2C412}"/>
    <hyperlink ref="A160" r:id="rId67" display="https://herhoopstats.com/stats/wnba/player/megan-mcconnell-stats-11f02f7c-fbda-57fc-be47-12df17ae4e1e/" xr:uid="{297E3C56-303E-3F41-8673-C7A280CA9262}"/>
    <hyperlink ref="A85" r:id="rId68" display="https://herhoopstats.com/stats/wnba/player/iliana-rupert-stats-11ebb4ed-e4e2-cbb4-9185-12df17ae4e1e/" xr:uid="{0EBA1F0C-8230-FB4B-B49C-F7F0071B63D5}"/>
    <hyperlink ref="A212" r:id="rId69" display="https://herhoopstats.com/stats/wnba/player/stephanie-talbot-stats-11eaeccf-b78e-5ec6-abdf-1f3cc36cb6a8/" xr:uid="{ED997838-B361-464D-8E35-0BC0899BD50B}"/>
    <hyperlink ref="A79" r:id="rId70" display="https://herhoopstats.com/stats/wnba/player/haley-jones-stats-11edf6b6-e860-374c-b638-024276bea302/" xr:uid="{7FB3A82B-21CE-1A48-9B11-E3FBFD30BB7D}"/>
    <hyperlink ref="A156" r:id="rId71" display="https://herhoopstats.com/stats/wnba/player/marquesha-davis-stats-11ef10cc-5bb7-1a28-b390-a0c589f521ca/" xr:uid="{9EBA63E2-E2B1-6343-8410-0B32E49B28C3}"/>
    <hyperlink ref="A15" r:id="rId72" display="https://herhoopstats.com/stats/wnba/player/alissa-pili-stats-11ef10cc-7ef5-9d5c-b390-a0c589f521ca/" xr:uid="{D8034E96-02CB-FE4F-A71B-460E3A397134}"/>
    <hyperlink ref="A82" r:id="rId73" display="https://herhoopstats.com/stats/wnba/player/haley-peters-stats-11eaecc7-5587-a8ac-b611-2362f5011b0b/" xr:uid="{94E48290-13FA-0E4E-9FBA-3D8BEA621ABB}"/>
    <hyperlink ref="A221" r:id="rId74" display="https://herhoopstats.com/stats/wnba/player/tiffany-mitchell-stats-11eaecc7-3e8b-a5c2-b611-2362f5011b0b/" xr:uid="{BE498CA7-71AE-1948-A66F-1782D2CC9ED3}"/>
    <hyperlink ref="A220" r:id="rId75" display="https://herhoopstats.com/stats/wnba/player/tiffany-mitchell-stats-11eaecc7-3e8b-a5c2-b611-2362f5011b0b/" xr:uid="{8CF135A2-A3B5-AE48-A411-C17FC2257741}"/>
    <hyperlink ref="A90" r:id="rId76" display="https://herhoopstats.com/stats/wnba/player/jaelyn-brown-stats-11ef10cc-9bb6-cb32-b390-a0c589f521ca/" xr:uid="{B665E060-5CD7-B94E-BB89-7FF3CEF4A33B}"/>
    <hyperlink ref="A144" r:id="rId77" display="https://herhoopstats.com/stats/wnba/player/mackenzie-holmes-stats-11edf6b9-16cb-e6f6-94f3-024276bea302/" xr:uid="{5192F171-9036-C042-AF9E-2279EF25C7D5}"/>
    <hyperlink ref="A107" r:id="rId78" display="https://herhoopstats.com/stats/wnba/player/kaitlyn-chen-stats-11f02f7c-fffc-c0ae-be47-12df17ae4e1e/" xr:uid="{12058023-C91D-5B43-A7B1-77B2ACBD8056}"/>
    <hyperlink ref="A5" r:id="rId79" display="https://herhoopstats.com/stats/wnba/player/aari-mcdonald-stats-11ebb4ec-f33d-5a86-9a0e-12df17ae4e1e/" xr:uid="{959A8479-86BF-2147-85B1-1759BE38195C}"/>
    <hyperlink ref="A132" r:id="rId80" display="https://herhoopstats.com/stats/wnba/player/laeticia-amihere-stats-11edf6b6-e9da-ce5c-b638-024276bea302/" xr:uid="{EEC24190-8E2B-7F4B-9F2C-831AE80F3283}"/>
    <hyperlink ref="A152" r:id="rId81" display="https://herhoopstats.com/stats/wnba/player/maria-kliundikova-stats-11eaeccf-b905-7118-abdf-1f3cc36cb6a8/" xr:uid="{40F2F88F-2F67-8342-B5F6-1769E02AA189}"/>
    <hyperlink ref="A178" r:id="rId82" display="https://herhoopstats.com/stats/wnba/player/odyssey-sims-stats-11eaecc7-47f4-5ece-b611-2362f5011b0b/" xr:uid="{0EF9B0D9-63E2-4644-A263-EB3AE5E388B3}"/>
    <hyperlink ref="A61" r:id="rId83" display="https://herhoopstats.com/stats/wnba/player/dewanna-bonner-stats-11eaecc7-3e11-0a92-b611-2362f5011b0b/" xr:uid="{A9AAC887-A847-334F-9A62-9A2EECA07335}"/>
    <hyperlink ref="A138" r:id="rId84" display="https://herhoopstats.com/stats/wnba/player/li-yueru-stats-11eaecc7-58ac-1f54-b611-2362f5011b0b/" xr:uid="{62D8F837-CFA1-1D41-97DB-5DE49F88EE9B}"/>
    <hyperlink ref="A158" r:id="rId85" display="https://herhoopstats.com/stats/wnba/player/maya-caldwell-stats-11ebb4ed-eaa5-71aa-9185-12df17ae4e1e/" xr:uid="{89B0E77A-FEB9-CA46-A317-AA5B65456869}"/>
    <hyperlink ref="A187" r:id="rId86" display="https://herhoopstats.com/stats/wnba/player/rebekah-gardner-stats-11eaecc7-58e4-2e8a-b611-2362f5011b0b/" xr:uid="{0DAC9E01-97CE-E147-8527-8674F9EF7023}"/>
    <hyperlink ref="A92" r:id="rId87" display="https://herhoopstats.com/stats/wnba/player/jaylyn-sherrod-stats-11ef10cc-5d9a-e86a-b390-a0c589f521ca/" xr:uid="{A64A5D35-C7BD-BA43-BFEC-248251E74017}"/>
    <hyperlink ref="A96" r:id="rId88" display="https://herhoopstats.com/stats/wnba/player/jj-quinerly-stats-11f02f7c-fe1e-2318-be47-12df17ae4e1e/" xr:uid="{C55ED3D0-7E5F-C645-B330-3E30A0C91309}"/>
    <hyperlink ref="A215" r:id="rId89" display="https://herhoopstats.com/stats/wnba/player/taylor-thierry-stats-11f02f7c-e95a-f73a-be47-12df17ae4e1e/" xr:uid="{D69E5505-2C4A-CF4B-80BD-753698982C8C}"/>
    <hyperlink ref="A101" r:id="rId90" display="https://herhoopstats.com/stats/wnba/player/julie-vanloo-stats-11ef10cc-406a-16f8-b390-a0c589f521ca/" xr:uid="{80DA4417-266A-3740-B425-98C38D078AAB}"/>
    <hyperlink ref="A163" r:id="rId91" display="https://herhoopstats.com/stats/wnba/player/monique-akoa-makani-stats-11f02f7c-faac-246e-be47-12df17ae4e1e/" xr:uid="{C0311A7C-F9F1-D94F-AA21-BDCC27B89FC0}"/>
    <hyperlink ref="A91" r:id="rId92" display="https://herhoopstats.com/stats/wnba/player/janelle-salaun-stats-11f02f7d-01ec-45e2-be47-12df17ae4e1e/" xr:uid="{CC592CD3-984A-794F-8B56-2F8441AA25F2}"/>
    <hyperlink ref="A114" r:id="rId93" display="https://herhoopstats.com/stats/wnba/player/kathryn-westbeld-stats-11eaecc7-56aa-cdd6-b611-2362f5011b0b/" xr:uid="{74D19260-4C1A-9B49-8EBB-993CF3C715CE}"/>
    <hyperlink ref="A155" r:id="rId94" display="https://herhoopstats.com/stats/wnba/player/marine-johannes-stats-11eaecd2-ab0f-a4fe-90cd-31ee0f3687c8/" xr:uid="{379CBD4D-7294-3A47-B986-E04F25465DA4}"/>
    <hyperlink ref="A143" r:id="rId95" display="https://herhoopstats.com/stats/wnba/player/luisa-geiselsoder-stats-11ebb4ed-e38e-c0a6-9185-12df17ae4e1e/" xr:uid="{873B771A-61FF-104A-AD61-C7DC11CFA6EF}"/>
    <hyperlink ref="A135" r:id="rId96" display="https://herhoopstats.com/stats/wnba/player/lexi-held-stats-11eccc25-0b10-079e-ba73-12df17ae4e1e/" xr:uid="{24DFC310-F1BB-D44A-9AA2-41435FF2C53A}"/>
    <hyperlink ref="A227" r:id="rId97" display="https://herhoopstats.com/stats/wnba/player/zia-cooke-stats-11edf6b7-148b-5b94-b638-024276bea302/" xr:uid="{704430C2-3C82-CF40-AC3E-8BFA2A266331}"/>
    <hyperlink ref="A89" r:id="rId98" display="https://herhoopstats.com/stats/wnba/player/jade-melbourne-stats-11eccc24-e5b5-6dfe-ba73-12df17ae4e1e/" xr:uid="{76667E3D-A692-464B-8BE1-1B80C262CF7A}"/>
    <hyperlink ref="A205" r:id="rId99" display="https://herhoopstats.com/stats/wnba/player/sika-kone-stats-11eccc24-e412-3400-ba73-12df17ae4e1e/" xr:uid="{A52EBC2D-6873-9242-92B6-F2CA3AD21250}"/>
    <hyperlink ref="A134" r:id="rId100" display="https://herhoopstats.com/stats/wnba/player/leonie-fiebich-stats-11ebb4ed-eb83-26a8-9185-12df17ae4e1e/" xr:uid="{E9161060-37D2-4846-AA11-126A1CB9C732}"/>
    <hyperlink ref="A113" r:id="rId101" display="https://herhoopstats.com/stats/wnba/player/kate-martin-stats-11ef127a-7161-ffc8-90e5-12df17ae4e1e/" xr:uid="{6D8CCBE5-B638-FE47-9EC2-52D789789E65}"/>
    <hyperlink ref="A216" r:id="rId102" display="https://herhoopstats.com/stats/wnba/player/te-hina-paopao-stats-11f02f7c-ead8-9806-be47-12df17ae4e1e/" xr:uid="{F7D7C8C5-EF7A-4F4D-B995-2F0B7FA16F9D}"/>
    <hyperlink ref="A149" r:id="rId103" display="https://herhoopstats.com/stats/wnba/player/makayla-timpson-stats-11f02f7c-e518-6590-be47-12df17ae4e1e/" xr:uid="{162BD305-3194-6B4F-A8C1-933C963C22B0}"/>
    <hyperlink ref="A142" r:id="rId104" display="https://herhoopstats.com/stats/wnba/player/lucy-olsen-stats-11f02f7c-e707-d91c-be47-12df17ae4e1e/" xr:uid="{7DA894FE-B3B8-3543-8249-685CE5A3C4DC}"/>
    <hyperlink ref="A146" r:id="rId105" display="https://herhoopstats.com/stats/wnba/player/maddy-westbeld-stats-11f02f7c-ddfa-609c-be47-12df17ae4e1e/" xr:uid="{BCEB3BAC-537F-6B48-9721-63B13FBD2305}"/>
    <hyperlink ref="A4" r:id="rId106" display="https://herhoopstats.com/stats/wnba/player/aaliyah-nye-stats-11f02f7c-f1f8-1710-be47-12df17ae4e1e/" xr:uid="{AAFA9E81-13D0-B34B-9700-99E7D6316FDB}"/>
    <hyperlink ref="A24" r:id="rId107" display="https://herhoopstats.com/stats/wnba/player/anastasiia-olairi-kosu-stats-11f02f7c-f85f-aece-be47-12df17ae4e1e/" xr:uid="{E44817A3-8D07-304D-BF9F-E935F8AFDC22}"/>
    <hyperlink ref="A185" r:id="rId108" display="https://herhoopstats.com/stats/wnba/player/rayah-marshall-stats-11f02f7c-e2c0-87fa-be47-12df17ae4e1e/" xr:uid="{48CC4C47-12ED-3442-80B2-7220A446259F}"/>
    <hyperlink ref="A193" r:id="rId109" display="https://herhoopstats.com/stats/wnba/player/sania-feagin-stats-11f02f7c-f432-2052-be47-12df17ae4e1e/" xr:uid="{A731245B-D23F-ED44-A328-84AC34B32EB5}"/>
    <hyperlink ref="A60" r:id="rId110" display="https://herhoopstats.com/stats/wnba/player/dewanna-bonner-stats-11eaecc7-3e11-0a92-b611-2362f5011b0b/" xr:uid="{0FA93E42-1614-274C-8E2D-98A7B00937FA}"/>
    <hyperlink ref="A133" r:id="rId111" display="https://herhoopstats.com/stats/wnba/player/leila-lacan-stats-11ef10cc-29f7-341e-b390-a0c589f521ca/" xr:uid="{4DCBE63A-E8B6-AC47-B112-DFB8B336CB3F}"/>
    <hyperlink ref="A45" r:id="rId112" display="https://herhoopstats.com/stats/wnba/player/carla-leite-stats-11ef10cc-9a1c-0008-b390-a0c589f521ca/" xr:uid="{0C289076-FD84-F543-A457-578A366603A0}"/>
    <hyperlink ref="A29" r:id="rId113" display="https://herhoopstats.com/stats/wnba/player/aziaha-james-stats-11f02f7c-fcb1-011c-be47-12df17ae4e1e/" xr:uid="{7E2E1924-0040-224B-8821-375B41EFCC58}"/>
    <hyperlink ref="A195" r:id="rId114" display="https://herhoopstats.com/stats/wnba/player/sarah-ashlee-barker-stats-11f02f7c-f64e-13dc-be47-12df17ae4e1e/" xr:uid="{5E726938-BB17-5340-A323-BC3977D08672}"/>
    <hyperlink ref="A78" r:id="rId115" display="https://herhoopstats.com/stats/wnba/player/hailey-van-lith-stats-11f02f7c-dd6b-9970-be47-12df17ae4e1e/" xr:uid="{BA3B5E31-1362-A849-B5AE-402F35F18DA0}"/>
    <hyperlink ref="A26" r:id="rId116" display="https://herhoopstats.com/stats/wnba/player/angel-reese-stats-11ef10cc-1f4d-0232-b390-a0c589f521ca/" xr:uid="{D89F3809-DA74-CD43-A8AA-344D17FD97A1}"/>
    <hyperlink ref="A88" r:id="rId117" display="https://herhoopstats.com/stats/wnba/player/jacy-sheldon-stats-11edf6b8-c31e-094e-94f3-024276bea302/" xr:uid="{055C6344-D99B-7249-B466-01306AC3276F}"/>
    <hyperlink ref="A3" r:id="rId118" display="https://herhoopstats.com/stats/wnba/player/aaliyah-edwards-stats-11ef10cc-41e1-7ee0-b390-a0c589f521ca/" xr:uid="{0F5D49F0-8574-F442-B328-DD3215768965}"/>
    <hyperlink ref="A194" r:id="rId119" display="https://herhoopstats.com/stats/wnba/player/saniya-rivers-stats-11f02f7c-dfcf-7682-be47-12df17ae4e1e/" xr:uid="{BA42DB23-EC77-6D46-9F4F-36CC4D41F3A4}"/>
    <hyperlink ref="A25" r:id="rId120" display="https://herhoopstats.com/stats/wnba/player/aneesah-morrow-stats-11f02f7c-e0c1-917e-be47-12df17ae4e1e/" xr:uid="{2DF9C6F6-23C3-C64A-AA4D-85453ADD348B}"/>
    <hyperlink ref="A74" r:id="rId121" display="https://herhoopstats.com/stats/wnba/player/georgia-amoore-stats-11f02f7c-e76e-d87e-be47-12df17ae4e1e/" xr:uid="{F4F86D3D-2EE9-754C-B1CD-D077E9270525}"/>
    <hyperlink ref="A70" r:id="rId122" display="https://herhoopstats.com/stats/wnba/player/emma-meesseman-stats-11eaecc7-4013-10ce-b611-2362f5011b0b/" xr:uid="{951752EE-2E36-2548-A076-18346A2FAFEB}"/>
    <hyperlink ref="A41" r:id="rId123" display="https://herhoopstats.com/stats/wnba/player/caitlin-clark-stats-11ef10cc-36c4-18e2-b390-a0c589f521ca/" xr:uid="{973D33D2-6726-3647-9D8D-EB4B41D67B20}"/>
    <hyperlink ref="A110" r:id="rId124" display="https://herhoopstats.com/stats/wnba/player/kamilla-cardoso-stats-11ef10cc-22e6-5d4e-b390-a0c589f521ca/" xr:uid="{7313E8AB-9868-6545-BA6A-2641D78CC4A3}"/>
    <hyperlink ref="A189" r:id="rId125" display="https://herhoopstats.com/stats/wnba/player/rickea-jackson-stats-11edf6b9-7f4f-064a-94f3-024276bea302/" xr:uid="{637E2768-D343-2A41-80B1-2D43F7528B47}"/>
    <hyperlink ref="A42" r:id="rId126" display="https://herhoopstats.com/stats/wnba/player/cameron-brink-stats-11ef10cc-784e-bd94-b390-a0c589f521ca/" xr:uid="{8A166C2F-4176-2845-9CE7-A9B07E796A71}"/>
    <hyperlink ref="A182" r:id="rId127" display="https://herhoopstats.com/stats/wnba/player/paige-bueckers-stats-11f02f7c-fd3d-c2fa-be47-12df17ae4e1e/" xr:uid="{2AFDA10C-8599-1044-95AB-D8A5AAA90D4B}"/>
    <hyperlink ref="A208" r:id="rId128" display="https://herhoopstats.com/stats/wnba/player/sonia-citron-stats-11f02f7c-e6c3-79b6-be47-12df17ae4e1e/" xr:uid="{D7830CC7-6668-8F40-9741-2EF135A1569B}"/>
    <hyperlink ref="A128" r:id="rId129" display="https://herhoopstats.com/stats/wnba/player/kiki-iriafen-stats-11f02f7c-e67f-3508-be47-12df17ae4e1e/" xr:uid="{E1093636-4172-DC4F-AAE2-96A245ACBF6B}"/>
    <hyperlink ref="A64" r:id="rId130" display="https://herhoopstats.com/stats/wnba/player/dominique-malonga-stats-11f02f7c-f051-55c0-be47-12df17ae4e1e/" xr:uid="{0987FA29-425C-904A-BB3C-08448B9AEE33}"/>
    <hyperlink ref="A94" r:id="rId131" display="https://herhoopstats.com/stats/wnba/player/jessica-shepard-stats-11eaeccf-b7c3-8d44-abdf-1f3cc36cb6a8/" xr:uid="{1D0894B9-929D-1745-878C-532266618FDA}"/>
    <hyperlink ref="A71" r:id="rId132" display="https://herhoopstats.com/stats/wnba/player/erica-wheeler-stats-11eaecc7-3eb3-dfc4-b611-2362f5011b0b/" xr:uid="{570BC7AB-A138-0546-B236-EA27939BE349}"/>
    <hyperlink ref="A121" r:id="rId133" display="https://herhoopstats.com/stats/wnba/player/kennedy-burke-stats-11eaecc7-3e77-0608-b611-2362f5011b0b/" xr:uid="{4B006703-6F1C-D34F-9506-DC4AC374BF48}"/>
    <hyperlink ref="A86" r:id="rId134" display="https://herhoopstats.com/stats/wnba/player/isabelle-harrison-stats-11eaecc7-49ff-d5ae-b611-2362f5011b0b/" xr:uid="{05969A60-28C9-704A-A03E-96094F9D4C94}"/>
    <hyperlink ref="A35" r:id="rId135" display="https://herhoopstats.com/stats/wnba/player/bria-hartley-stats-11eaecc7-48e4-f4ba-b611-2362f5011b0b/" xr:uid="{F2BF1B92-BD54-BB4A-BB5E-5E92B3980955}"/>
    <hyperlink ref="A48" r:id="rId136" display="https://herhoopstats.com/stats/wnba/player/cheyenne-parker-tyus-stats-11eaecc7-3c5d-262c-b611-2362f5011b0b/" xr:uid="{E94C38AB-FDFA-3B4F-978F-0A1124050722}"/>
    <hyperlink ref="A177" r:id="rId137" display="https://herhoopstats.com/stats/wnba/player/nyara-sabally-stats-11eccc24-e3fa-ac7c-ba73-12df17ae4e1e/" xr:uid="{2084E488-2FF0-9742-B507-C84F7BE5E5A0}"/>
    <hyperlink ref="A129" r:id="rId138" display="https://herhoopstats.com/stats/wnba/player/kitija-laksa-stats-11ebb4ed-e647-d968-9185-12df17ae4e1e/" xr:uid="{AEEE7634-936F-DA49-8ED7-D132856F4678}"/>
    <hyperlink ref="A161" r:id="rId139" display="https://herhoopstats.com/stats/wnba/player/mercedes-russell-stats-11eaecc7-43a5-dab4-b611-2362f5011b0b/" xr:uid="{6AE280FC-8B1A-7B42-B7BD-8F43AA4A103D}"/>
    <hyperlink ref="A174" r:id="rId140" display="https://herhoopstats.com/stats/wnba/player/naz-hillmon-stats-11eccc24-e355-9750-ba73-12df17ae4e1e/" xr:uid="{1A509CFA-0501-3B4D-9B7B-75416CEE684E}"/>
    <hyperlink ref="A181" r:id="rId141" display="https://herhoopstats.com/stats/wnba/player/olivia-nelson-ododa-stats-11eccc24-e97a-d49c-ba73-12df17ae4e1e/" xr:uid="{EA7E8F72-AD25-3B45-9CC5-B8A1CF8A2FB0}"/>
    <hyperlink ref="A68" r:id="rId142" display="https://herhoopstats.com/stats/wnba/player/emily-engstler-stats-11eccc24-e012-94c6-ba73-12df17ae4e1e/" xr:uid="{5D1343CD-3B8A-0446-A194-25F981567526}"/>
    <hyperlink ref="A62" r:id="rId143" display="https://herhoopstats.com/stats/wnba/player/diamond-miller-stats-11edf6b7-24a6-b29e-b638-024276bea302/" xr:uid="{52255EAF-81AD-4447-8B4B-5F271C38F31A}"/>
    <hyperlink ref="A18" r:id="rId144" display="https://herhoopstats.com/stats/wnba/player/aliyah-boston-stats-11edf6b6-b45b-5788-bd52-024276bea302/" xr:uid="{334EB772-2E3C-3F43-ABBF-D2F982DF8C63}"/>
    <hyperlink ref="A145" r:id="rId145" display="https://herhoopstats.com/stats/wnba/player/maddy-siegrist-stats-11edf6b8-48ca-b2aa-ae8b-024276bea302/" xr:uid="{A95F3676-77CE-7841-9EAA-D2212B5F8244}"/>
    <hyperlink ref="A127" r:id="rId146" display="https://herhoopstats.com/stats/wnba/player/kierstan-bell-stats-11eccc24-e714-46e8-ba73-12df17ae4e1e/" xr:uid="{50800D0E-E0EC-594C-B822-98604ED632DE}"/>
    <hyperlink ref="A100" r:id="rId147" display="https://herhoopstats.com/stats/wnba/player/julie-allemand-stats-11eaecc7-3e9f-d542-b611-2362f5011b0b/" xr:uid="{BFAEEC6D-7ACF-6B45-9ABF-058A3A28EFD7}"/>
    <hyperlink ref="A36" r:id="rId148" display="https://herhoopstats.com/stats/wnba/player/brianna-turner-stats-11eaecc7-490d-f3ba-b611-2362f5011b0b/" xr:uid="{1227299F-FA69-EA42-AE52-8ECEE5FFC775}"/>
    <hyperlink ref="A225" r:id="rId149" display="https://herhoopstats.com/stats/wnba/player/yvonne-anderson-stats-11eccc24-de9c-6ce8-ba73-12df17ae4e1e/" xr:uid="{CE620383-5974-E742-8D7D-2AFD4A64AECA}"/>
    <hyperlink ref="A137" r:id="rId150" display="https://herhoopstats.com/stats/wnba/player/lexie-hull-stats-11eccc24-e0aa-8448-ba73-12df17ae4e1e/" xr:uid="{42460646-1892-CA44-B857-6FA9BCD78CF7}"/>
    <hyperlink ref="A58" r:id="rId151" display="https://herhoopstats.com/stats/wnba/player/dana-evans-stats-11ebb4ec-f985-e052-9a0e-12df17ae4e1e/" xr:uid="{4EB8F130-EE59-9143-AD43-76CAF226FE58}"/>
    <hyperlink ref="A218" r:id="rId152" display="https://herhoopstats.com/stats/wnba/player/temi-f%C3%A1gb%C3%A9nl%C3%A9-stats-11eaeccf-b7f8-167c-abdf-1f3cc36cb6a8/" xr:uid="{C80513A3-A58D-F844-A0B8-9C76719A6023}"/>
    <hyperlink ref="A214" r:id="rId153" display="https://herhoopstats.com/stats/wnba/player/sydney-colson-stats-11eaecc7-3c47-1c7e-b611-2362f5011b0b/" xr:uid="{1D204B64-761B-DC4A-8461-ED1FEBF617D3}"/>
    <hyperlink ref="A141" r:id="rId154" display="https://herhoopstats.com/stats/wnba/player/lindsay-allen-stats-11eaecc7-4524-d8d6-b611-2362f5011b0b/" xr:uid="{75D557D9-A097-9946-B58D-9993B1C766CA}"/>
    <hyperlink ref="A116" r:id="rId155" display="https://herhoopstats.com/stats/wnba/player/katie-lou-samuelson-stats-11eaecc7-4a28-5100-b611-2362f5011b0b/" xr:uid="{D58904D7-FDE7-9C4B-857F-4B181E7EEEEA}"/>
    <hyperlink ref="A188" r:id="rId156" display="https://herhoopstats.com/stats/wnba/player/rhyne-howard-stats-11eccc24-e32a-8af6-ba73-12df17ae4e1e/" xr:uid="{BE5B9A70-2A84-8744-964B-4352A85B5D54}"/>
    <hyperlink ref="A168" r:id="rId157" display="https://herhoopstats.com/stats/wnba/player/nalyssa-smith-stats-11eccc24-dfe7-b4e0-ba73-12df17ae4e1e/" xr:uid="{80F0DF17-0D3E-9645-AE09-4CD8E0C791DE}"/>
    <hyperlink ref="A200" r:id="rId158" display="https://herhoopstats.com/stats/wnba/player/shakira-austin-stats-11eccc24-e1d4-db84-ba73-12df17ae4e1e/" xr:uid="{AF682A01-DFE9-BC40-B939-5671867BA6F5}"/>
    <hyperlink ref="A213" r:id="rId159" display="https://herhoopstats.com/stats/wnba/player/sug-sutton-stats-11eaecc7-3fc3-9d96-b611-2362f5011b0b/" xr:uid="{B898DF55-1B12-8947-9946-31CB1E8B4DFA}"/>
    <hyperlink ref="A183" r:id="rId160" display="https://herhoopstats.com/stats/wnba/player/rachel-banham-stats-11eaecc7-4768-4542-b611-2362f5011b0b/" xr:uid="{90A45AF0-1295-B442-BD93-DC7B4885187F}"/>
    <hyperlink ref="A115" r:id="rId161" display="https://herhoopstats.com/stats/wnba/player/katie-lou-samuelson-stats-11eaecc7-4a28-5100-b611-2362f5011b0b/" xr:uid="{9D221A31-2976-6E40-AFB9-EEDA464DB1E8}"/>
    <hyperlink ref="A136" r:id="rId162" display="https://herhoopstats.com/stats/wnba/player/lexie-brown-stats-11eaecc7-473e-e102-b611-2362f5011b0b/" xr:uid="{A7D1970C-F9E2-F447-AAB3-39839F0FB95C}"/>
    <hyperlink ref="A159" r:id="rId163" display="https://herhoopstats.com/stats/wnba/player/megan-gustafson-stats-11eaecc7-4aa4-1740-b611-2362f5011b0b/" xr:uid="{0C622C34-4522-1542-AAEF-CAB5473A8798}"/>
    <hyperlink ref="A209" r:id="rId164" display="https://herhoopstats.com/stats/wnba/player/sophie-cunningham-stats-11eaecc7-4936-aeae-b611-2362f5011b0b/" xr:uid="{6E7AA19E-AF84-3F46-9ADC-9AE7ED72F935}"/>
    <hyperlink ref="A46" r:id="rId165" display="https://herhoopstats.com/stats/wnba/player/cecilia-zandalasini-stats-11eaecea-ccf2-b3fa-934f-8b50fcb63fde/" xr:uid="{0B20D62A-12FC-4A41-8F3F-8A62473AFA44}"/>
    <hyperlink ref="A57" r:id="rId166" display="https://herhoopstats.com/stats/wnba/player/damiris-dantas-stats-11eaecc7-484f-953c-b611-2362f5011b0b/" xr:uid="{F3ACBE91-F366-3C43-A662-2A050FBE34E2}"/>
    <hyperlink ref="A67" r:id="rId167" display="https://herhoopstats.com/stats/wnba/player/elizabeth-williams-stats-11eaecc7-41b7-b3da-b611-2362f5011b0b/" xr:uid="{D1E57670-AFBA-0D47-9436-9F3DE441F97F}"/>
    <hyperlink ref="A223" r:id="rId168" display="https://herhoopstats.com/stats/wnba/player/tyasha-harris-stats-11eaecc7-4ab8-418e-b611-2362f5011b0b/" xr:uid="{06D3CED0-992B-1B40-9365-A747B37FF296}"/>
    <hyperlink ref="A123" r:id="rId169" display="https://herhoopstats.com/stats/wnba/player/kiah-stokes-stats-11eaecc7-4349-4682-b611-2362f5011b0b/" xr:uid="{13ABAE5A-8D24-B84F-8987-E5C25E14EC6B}"/>
    <hyperlink ref="A224" r:id="rId170" display="https://herhoopstats.com/stats/wnba/player/veronica-burton-stats-11eccc24-ee6e-08f2-ba73-12df17ae4e1e/" xr:uid="{E7E68D09-361D-3C45-BE67-2EC0147EF3F1}"/>
    <hyperlink ref="A164" r:id="rId171" display="https://herhoopstats.com/stats/wnba/player/monique-billings-stats-11eaecc7-4118-5344-b611-2362f5011b0b/" xr:uid="{DB4FBBC1-8705-CD4A-B0A9-988A5B32F31F}"/>
    <hyperlink ref="A172" r:id="rId172" display="https://herhoopstats.com/stats/wnba/player/natasha-mack-stats-11ebb4ed-de81-5470-9185-12df17ae4e1e/" xr:uid="{EE706A9E-39D0-5742-8676-232FA39E25B4}"/>
    <hyperlink ref="A69" r:id="rId173" display="https://herhoopstats.com/stats/wnba/player/emma-cannon-stats-11eaecc7-4cfd-a63c-b611-2362f5011b0b/" xr:uid="{F4C4F006-5471-D64A-8D6B-F9592D328C40}"/>
    <hyperlink ref="A112" r:id="rId174" display="https://herhoopstats.com/stats/wnba/player/karlie-samuelson-stats-11eaecd2-c023-acc8-90cd-31ee0f3687c8/" xr:uid="{4151A8A3-56C5-C740-852F-E333D8ECBF01}"/>
    <hyperlink ref="A162" r:id="rId175" display="https://herhoopstats.com/stats/wnba/player/michaela-onyenwere-stats-11ebb4ec-f433-dc94-9a0e-12df17ae4e1e/" xr:uid="{2E361039-6049-C749-A298-5A5B763B4753}"/>
    <hyperlink ref="A37" r:id="rId176" display="https://herhoopstats.com/stats/wnba/player/bridget-carleton-stats-11eaecc7-4863-dea2-b611-2362f5011b0b/" xr:uid="{815FE956-4FFB-5E47-B41F-D8DD3AF5C735}"/>
    <hyperlink ref="A192" r:id="rId177" display="https://herhoopstats.com/stats/wnba/player/sami-whitcomb-stats-11eaecc7-442e-6f32-b611-2362f5011b0b/" xr:uid="{1EF02FAA-907E-1A4B-90E8-B3DCB4DC7C62}"/>
    <hyperlink ref="A211" r:id="rId178" display="https://herhoopstats.com/stats/wnba/player/stephanie-talbot-stats-11eaeccf-b78e-5ec6-abdf-1f3cc36cb6a8/" xr:uid="{922CA5AC-B056-274C-AE27-3DCE7B286919}"/>
    <hyperlink ref="A108" r:id="rId179" display="https://herhoopstats.com/stats/wnba/player/kalani-brown-stats-11eaecc7-418d-e50a-b611-2362f5011b0b/" xr:uid="{DDAB5CF1-EF95-E34A-B73C-1A55BABD631B}"/>
    <hyperlink ref="A118" r:id="rId180" display="https://herhoopstats.com/stats/wnba/player/kayla-thornton-stats-11eaecc7-4a90-c44c-b611-2362f5011b0b/" xr:uid="{81D13570-64D4-7040-A179-9E554D4EF8A8}"/>
    <hyperlink ref="A173" r:id="rId181" display="https://herhoopstats.com/stats/wnba/player/natisha-hiedeman-stats-11eaecc7-3d72-bd2e-b611-2362f5011b0b/" xr:uid="{D4698277-8548-824D-84EB-CF70E3759EDF}"/>
    <hyperlink ref="A184" r:id="rId182" display="https://herhoopstats.com/stats/wnba/player/rae-burrell-stats-11eccc24-e8e2-4dc6-ba73-12df17ae4e1e/" xr:uid="{8BBC4ED3-1CA7-974E-9685-86335734EE0A}"/>
    <hyperlink ref="A122" r:id="rId183" display="https://herhoopstats.com/stats/wnba/player/kia-nurse-stats-11eaecc7-4321-b31a-b611-2362f5011b0b/" xr:uid="{2ADDDBD6-2F79-C34C-A719-0747E76C23BA}"/>
    <hyperlink ref="A165" r:id="rId184" display="https://herhoopstats.com/stats/wnba/player/moriah-jefferson-stats-11eaecc7-4a7d-02d6-b611-2362f5011b0b/" xr:uid="{4D23F478-7613-8141-8D58-BBF5F8C4CA4A}"/>
    <hyperlink ref="A13" r:id="rId185" display="https://herhoopstats.com/stats/wnba/player/alanna-smith-stats-11eaecc7-4987-381a-b611-2362f5011b0b/" xr:uid="{53499C9E-2C6D-1043-AD4F-FC05B76319CC}"/>
    <hyperlink ref="A175" r:id="rId186" display="https://herhoopstats.com/stats/wnba/player/nia-coffey-stats-11eaecc7-4922-6ff2-b611-2362f5011b0b/" xr:uid="{A8499790-0212-A34B-A293-D89A99CEEE08}"/>
    <hyperlink ref="A201" r:id="rId187" display="https://herhoopstats.com/stats/wnba/player/shatori-walker-kimbrough-stats-11eaecc7-48f9-7232-b611-2362f5011b0b/" xr:uid="{69000F3D-653C-6E49-A922-EF47CC04AE1F}"/>
    <hyperlink ref="A186" r:id="rId188" display="https://herhoopstats.com/stats/wnba/player/rebecca-allen-stats-11eaecc7-42d4-5c28-b611-2362f5011b0b/" xr:uid="{15B1DB97-38B6-9A40-9843-C92165AA69B4}"/>
    <hyperlink ref="A87" r:id="rId189" display="https://herhoopstats.com/stats/wnba/player/jackie-young-stats-11eaecc7-44e8-b55e-b611-2362f5011b0b/" xr:uid="{69F957B0-6220-6B4D-9B4D-4500384F6BDA}"/>
    <hyperlink ref="A222" r:id="rId190" display="https://herhoopstats.com/stats/wnba/player/tina-charles-stats-11eaecc7-3fff-1632-b611-2362f5011b0b/" xr:uid="{BB2BE2FF-AB30-574A-BC11-D5A14441C1B1}"/>
    <hyperlink ref="A210" r:id="rId191" display="https://herhoopstats.com/stats/wnba/player/stefanie-dolson-stats-11eaecc7-3c9e-9f12-b611-2362f5011b0b/" xr:uid="{BE4631BD-DFE6-CB41-9553-7C62A8C6D0DE}"/>
    <hyperlink ref="A55" r:id="rId192" display="https://herhoopstats.com/stats/wnba/player/courtney-williams-stats-11eaecc7-4166-152a-b611-2362f5011b0b/" xr:uid="{D617737E-6AC7-364D-8F45-EC3AF0B45EEE}"/>
    <hyperlink ref="A54" r:id="rId193" display="https://herhoopstats.com/stats/wnba/player/courtney-vandersloot-stats-11eaecc7-3ce0-75a4-b611-2362f5011b0b/" xr:uid="{8B7AD946-2C59-D44C-B17E-29F732D27692}"/>
    <hyperlink ref="A72" r:id="rId194" display="https://herhoopstats.com/stats/wnba/player/ezi-magbegor-stats-11eaecc7-441a-969c-b611-2362f5011b0b/" xr:uid="{ED78BDD3-6F8D-684D-BD63-3EE647439BF2}"/>
    <hyperlink ref="A19" r:id="rId195" display="https://herhoopstats.com/stats/wnba/player/allisha-gray-stats-11eaecc7-4a13-fcb4-b611-2362f5011b0b/" xr:uid="{FE67F811-EAE5-9849-A04C-E15C21D974C9}"/>
    <hyperlink ref="A98" r:id="rId196" display="https://herhoopstats.com/stats/wnba/player/jordin-canada-stats-11eaecc7-43b9-89ce-b611-2362f5011b0b/" xr:uid="{A33419C0-6F4E-B94B-AAAC-2BCB2B305FF3}"/>
    <hyperlink ref="A176" r:id="rId197" display="https://herhoopstats.com/stats/wnba/player/nneka-ogwumike-stats-11eaecc7-46d2-8ba6-b611-2362f5011b0b/" xr:uid="{CAB8B016-B7C2-B243-88ED-10148BEB2273}"/>
    <hyperlink ref="A30" r:id="rId198" display="https://herhoopstats.com/stats/wnba/player/azura-stevens-stats-11eaecc7-3c1a-6f26-b611-2362f5011b0b/" xr:uid="{CEA2A881-916D-F54B-B2FA-36EE1C976E5B}"/>
    <hyperlink ref="A40" r:id="rId199" display="https://herhoopstats.com/stats/wnba/player/brittney-sykes-stats-11eaecc7-45e2-de26-b611-2362f5011b0b/" xr:uid="{3A847C77-0EFB-8B4C-B1FD-20495553F7AC}"/>
    <hyperlink ref="A47" r:id="rId200" display="https://herhoopstats.com/stats/wnba/player/chelsea-gray-stats-11eaecc7-46a9-5f74-b611-2362f5011b0b/" xr:uid="{D325DFDF-AA46-3F4F-92FC-08176481BC34}"/>
    <hyperlink ref="A2" r:id="rId201" display="https://herhoopstats.com/stats/wnba/player/aja-wilson-stats-11eaecc7-44fc-b036-b611-2362f5011b0b/" xr:uid="{C3043D5F-2356-F64D-8372-5C833E5BBBED}"/>
    <hyperlink ref="A63" r:id="rId202" display="https://herhoopstats.com/stats/wnba/player/dijonai-carrington-stats-11ebb4ec-f0ba-a8e0-9a0e-12df17ae4e1e/" xr:uid="{7A358959-DE78-B349-B9AA-06623F2FDE76}"/>
    <hyperlink ref="A170" r:id="rId203" display="https://herhoopstats.com/stats/wnba/player/natasha-cloud-stats-11eaecc7-40c5-e9b0-b611-2362f5011b0b/" xr:uid="{B807513E-6363-E744-95F4-4924824C9C73}"/>
    <hyperlink ref="A219" r:id="rId204" display="https://herhoopstats.com/stats/wnba/player/tiffany-hayes-stats-11eaecc7-41f3-ae80-b611-2362f5011b0b/" xr:uid="{F6B67C00-C528-5346-9930-1B332FF46F1A}"/>
    <hyperlink ref="A217" r:id="rId205" display="https://herhoopstats.com/stats/wnba/player/teaira-mccowan-stats-11eaecc7-3f66-c81e-b611-2362f5011b0b/" xr:uid="{1C9B9FF1-1DCC-7A4C-9E2F-462EBAFE1E0C}"/>
    <hyperlink ref="A120" r:id="rId206" display="https://herhoopstats.com/stats/wnba/player/kelsey-plum-stats-11eaecc7-44d4-ac1c-b611-2362f5011b0b/" xr:uid="{1558DA63-ADA5-FB4E-95C6-27C83A7EEDBC}"/>
    <hyperlink ref="A59" r:id="rId207" display="https://herhoopstats.com/stats/wnba/player/dearica-hamby-stats-11eaecc7-4510-aa3c-b611-2362f5011b0b/" xr:uid="{BC077897-9244-E648-B75D-8A244467AC26}"/>
    <hyperlink ref="A167" r:id="rId208" display="https://herhoopstats.com/stats/wnba/player/myisha-hines-allen-stats-11eaecc7-403b-32b6-b611-2362f5011b0b/" xr:uid="{DC564D7F-C559-6749-B040-9863A63E9DAA}"/>
    <hyperlink ref="A117" r:id="rId209" display="https://herhoopstats.com/stats/wnba/player/kayla-mcbride-stats-11eaecc7-4574-a37a-b611-2362f5011b0b/" xr:uid="{DD5BCFD5-94CA-354F-862C-FA95F6E7BB4B}"/>
    <hyperlink ref="A20" r:id="rId210" display="https://herhoopstats.com/stats/wnba/player/alysha-clark-stats-11eaecc7-4468-8e38-b611-2362f5011b0b/" xr:uid="{00C78E45-5343-AF42-9AB0-897C73B42134}"/>
    <hyperlink ref="A97" r:id="rId211" display="https://herhoopstats.com/stats/wnba/player/jonquel-jones-stats-11eaecc7-3dd5-8260-b611-2362f5011b0b/" xr:uid="{814F6D5A-F5EB-D242-A985-4D8CD7177D09}"/>
    <hyperlink ref="A154" r:id="rId212" display="https://herhoopstats.com/stats/wnba/player/marina-mabrey-stats-11eaecc7-4a51-4696-b611-2362f5011b0b/" xr:uid="{0D80E3ED-4040-4E44-9AE1-3BAC9F2C418E}"/>
    <hyperlink ref="A169" r:id="rId213" display="https://herhoopstats.com/stats/wnba/player/napheesa-collier-stats-11eaecc7-4753-2158-b611-2362f5011b0b/" xr:uid="{1E19DDBB-663B-724A-8875-8C2219B41008}"/>
    <hyperlink ref="A38" r:id="rId214" display="https://herhoopstats.com/stats/wnba/player/brionna-jones-stats-11eaecc7-3e39-3166-b611-2362f5011b0b/" xr:uid="{197B0206-43F6-344A-8B4B-FA80E54AAAFF}"/>
    <hyperlink ref="A207" r:id="rId215" display="https://herhoopstats.com/stats/wnba/player/skylar-diggins-stats-11eaecc7-495f-145c-b611-2362f5011b0b/" xr:uid="{D163B71B-DBA8-214F-9857-DDD3910931CA}"/>
    <hyperlink ref="A171" r:id="rId216" display="https://herhoopstats.com/stats/wnba/player/natasha-howard-stats-11eaecc7-43d0-ecb8-b611-2362f5011b0b/" xr:uid="{ADA615F4-B101-8548-8B2F-8092EA5BB380}"/>
    <hyperlink ref="A39" r:id="rId217" display="https://herhoopstats.com/stats/wnba/player/brittney-griner-stats-11eaecc7-48bb-e0e8-b611-2362f5011b0b/" xr:uid="{8B20429F-2C71-0E4F-A0AD-5D053975E22D}"/>
    <hyperlink ref="A21" r:id="rId218" display="https://herhoopstats.com/stats/wnba/player/alyssa-thomas-stats-11eaecc7-3dc1-cb58-b611-2362f5011b0b/" xr:uid="{340D45F1-AF76-E641-B27A-881D11EF98FF}"/>
    <hyperlink ref="A196" r:id="rId219" display="https://herhoopstats.com/stats/wnba/player/satou-sabally-stats-11eaecc7-4a3c-a22c-b611-2362f5011b0b/" xr:uid="{A1266B50-BB87-B64D-9B3F-9C75CE0CD262}"/>
    <hyperlink ref="A191" r:id="rId220" display="https://herhoopstats.com/stats/wnba/player/sabrina-ionescu-stats-11eaecc7-425a-0c5c-b611-2362f5011b0b/" xr:uid="{93696DC2-71B3-D34F-B90C-8B54CA8FF1A6}"/>
    <hyperlink ref="A31" r:id="rId221" display="https://herhoopstats.com/stats/wnba/player/breanna-stewart-stats-11eaecc7-4406-bae6-b611-2362f5011b0b/" xr:uid="{88EB67DE-FD1F-8444-8C01-548119372442}"/>
    <hyperlink ref="A27" r:id="rId222" display="https://herhoopstats.com/stats/wnba/player/ariel-atkins-stats-11eaecc7-3fd7-a656-b611-2362f5011b0b/" xr:uid="{5886EF8D-13A8-F94D-8DD5-54EC60019010}"/>
    <hyperlink ref="A73" r:id="rId223" display="https://herhoopstats.com/stats/wnba/player/gabby-williams-stats-11eaecc7-3c73-5668-b611-2362f5011b0b/" xr:uid="{075FA37F-C603-0B43-B3DC-E3E925F4AA73}"/>
    <hyperlink ref="A102" r:id="rId224" display="https://herhoopstats.com/stats/wnba/player/kahleah-copper-stats-11eaecc7-3c89-9b3a-b611-2362f5011b0b/" xr:uid="{A54F8D0E-F099-C348-99A7-2C70ABF7D931}"/>
    <hyperlink ref="A95" r:id="rId225" display="https://herhoopstats.com/stats/wnba/player/jewell-loyd-stats-11eaecc7-4392-1cfe-b611-2362f5011b0b/" xr:uid="{4317B881-1C54-C142-844E-D70006AF125F}"/>
    <hyperlink ref="A28" r:id="rId226" display="https://herhoopstats.com/stats/wnba/player/arike-ogunbowale-stats-11eaecc7-4acc-6038-b611-2362f5011b0b/" xr:uid="{93D7978D-227C-E54A-BA21-B878A989E087}"/>
    <hyperlink ref="A119" r:id="rId227" display="https://herhoopstats.com/stats/wnba/player/kelsey-mitchell-stats-11eaecc7-3f02-2418-b611-2362f5011b0b/" xr:uid="{1BC4C4CB-2351-C84A-810F-DA303A788E78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28"/>
  <sheetViews>
    <sheetView workbookViewId="0">
      <selection activeCell="B228" sqref="B228"/>
    </sheetView>
  </sheetViews>
  <sheetFormatPr baseColWidth="10" defaultColWidth="8.83203125" defaultRowHeight="16" x14ac:dyDescent="0.2"/>
  <cols>
    <col min="1" max="1" width="22" customWidth="1"/>
    <col min="2" max="15" width="13" customWidth="1"/>
  </cols>
  <sheetData>
    <row r="1" spans="1:15" ht="32" customHeight="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x14ac:dyDescent="0.2">
      <c r="A2" s="4" t="s">
        <v>15</v>
      </c>
      <c r="B2" s="5">
        <v>269244</v>
      </c>
      <c r="C2" s="4" t="s">
        <v>16</v>
      </c>
      <c r="D2" s="6">
        <v>44</v>
      </c>
      <c r="E2" s="6">
        <v>1381</v>
      </c>
      <c r="F2" s="7">
        <v>20</v>
      </c>
      <c r="G2" s="6">
        <v>27655</v>
      </c>
      <c r="H2" s="8">
        <v>5.6</v>
      </c>
      <c r="I2" s="8">
        <v>4.8</v>
      </c>
      <c r="J2" s="8">
        <v>0.8</v>
      </c>
      <c r="K2" s="8">
        <v>0.16</v>
      </c>
      <c r="L2" s="8">
        <v>0.14000000000000001</v>
      </c>
      <c r="M2" s="8">
        <v>0.02</v>
      </c>
      <c r="N2" s="7">
        <v>114</v>
      </c>
      <c r="O2" s="7">
        <v>105.4</v>
      </c>
    </row>
    <row r="3" spans="1:15" x14ac:dyDescent="0.2">
      <c r="A3" s="4" t="s">
        <v>17</v>
      </c>
      <c r="B3" s="5">
        <v>249032</v>
      </c>
      <c r="C3" s="4" t="s">
        <v>18</v>
      </c>
      <c r="D3" s="6">
        <v>29</v>
      </c>
      <c r="E3" s="6">
        <v>966</v>
      </c>
      <c r="F3" s="7">
        <v>13.3</v>
      </c>
      <c r="G3" s="6">
        <v>12825</v>
      </c>
      <c r="H3" s="8">
        <v>1.3</v>
      </c>
      <c r="I3" s="8">
        <v>1.3</v>
      </c>
      <c r="J3" s="8">
        <v>0</v>
      </c>
      <c r="K3" s="8">
        <v>0.05</v>
      </c>
      <c r="L3" s="8">
        <v>0.05</v>
      </c>
      <c r="M3" s="8">
        <v>0</v>
      </c>
      <c r="N3" s="7">
        <v>101.8</v>
      </c>
      <c r="O3" s="7">
        <v>110</v>
      </c>
    </row>
    <row r="4" spans="1:15" x14ac:dyDescent="0.2">
      <c r="A4" s="4" t="s">
        <v>19</v>
      </c>
      <c r="B4" s="5">
        <v>249032</v>
      </c>
      <c r="C4" s="4" t="s">
        <v>16</v>
      </c>
      <c r="D4" s="6">
        <v>44</v>
      </c>
      <c r="E4" s="6">
        <v>1245</v>
      </c>
      <c r="F4" s="7">
        <v>13.4</v>
      </c>
      <c r="G4" s="6">
        <v>16739</v>
      </c>
      <c r="H4" s="8">
        <v>2.9</v>
      </c>
      <c r="I4" s="8">
        <v>2</v>
      </c>
      <c r="J4" s="8">
        <v>1</v>
      </c>
      <c r="K4" s="8">
        <v>0.09</v>
      </c>
      <c r="L4" s="8">
        <v>0.06</v>
      </c>
      <c r="M4" s="8">
        <v>0.03</v>
      </c>
      <c r="N4" s="7">
        <v>106.5</v>
      </c>
      <c r="O4" s="7">
        <v>104</v>
      </c>
    </row>
    <row r="5" spans="1:15" x14ac:dyDescent="0.2">
      <c r="A5" s="4" t="s">
        <v>20</v>
      </c>
      <c r="B5" s="5">
        <v>248134</v>
      </c>
      <c r="C5" s="4" t="s">
        <v>16</v>
      </c>
      <c r="D5" s="6">
        <v>28</v>
      </c>
      <c r="E5" s="6">
        <v>752</v>
      </c>
      <c r="F5" s="7">
        <v>14.7</v>
      </c>
      <c r="G5" s="6">
        <v>11094</v>
      </c>
      <c r="H5" s="8">
        <v>1.5</v>
      </c>
      <c r="I5" s="8">
        <v>0.8</v>
      </c>
      <c r="J5" s="8">
        <v>0.8</v>
      </c>
      <c r="K5" s="8">
        <v>0.08</v>
      </c>
      <c r="L5" s="8">
        <v>0.04</v>
      </c>
      <c r="M5" s="8">
        <v>0.04</v>
      </c>
      <c r="N5" s="7">
        <v>98.4</v>
      </c>
      <c r="O5" s="7">
        <v>101.8</v>
      </c>
    </row>
    <row r="6" spans="1:15" x14ac:dyDescent="0.2">
      <c r="A6" s="4" t="s">
        <v>21</v>
      </c>
      <c r="B6" s="5">
        <v>225000</v>
      </c>
      <c r="C6" s="4" t="s">
        <v>16</v>
      </c>
      <c r="D6" s="6">
        <v>44</v>
      </c>
      <c r="E6" s="6">
        <v>1391</v>
      </c>
      <c r="F6" s="7">
        <v>15.6</v>
      </c>
      <c r="G6" s="6">
        <v>21728</v>
      </c>
      <c r="H6" s="8">
        <v>3.5</v>
      </c>
      <c r="I6" s="8">
        <v>1.3</v>
      </c>
      <c r="J6" s="8">
        <v>2.2000000000000002</v>
      </c>
      <c r="K6" s="8">
        <v>0.1</v>
      </c>
      <c r="L6" s="8">
        <v>0.04</v>
      </c>
      <c r="M6" s="8">
        <v>0.06</v>
      </c>
      <c r="N6" s="7">
        <v>99.6</v>
      </c>
      <c r="O6" s="7">
        <v>97.3</v>
      </c>
    </row>
    <row r="7" spans="1:15" x14ac:dyDescent="0.2">
      <c r="A7" s="4" t="s">
        <v>22</v>
      </c>
      <c r="B7" s="5">
        <v>223000</v>
      </c>
      <c r="C7" s="4" t="s">
        <v>18</v>
      </c>
      <c r="D7" s="6">
        <v>34</v>
      </c>
      <c r="E7" s="6">
        <v>970</v>
      </c>
      <c r="F7" s="7">
        <v>16</v>
      </c>
      <c r="G7" s="6">
        <v>15499</v>
      </c>
      <c r="H7" s="8">
        <v>2</v>
      </c>
      <c r="I7" s="8">
        <v>1.5</v>
      </c>
      <c r="J7" s="8">
        <v>0.4</v>
      </c>
      <c r="K7" s="8">
        <v>0.08</v>
      </c>
      <c r="L7" s="8">
        <v>0.06</v>
      </c>
      <c r="M7" s="8">
        <v>0.02</v>
      </c>
      <c r="N7" s="7">
        <v>103.6</v>
      </c>
      <c r="O7" s="7">
        <v>106.5</v>
      </c>
    </row>
    <row r="8" spans="1:15" x14ac:dyDescent="0.2">
      <c r="A8" s="4" t="s">
        <v>23</v>
      </c>
      <c r="B8" s="5">
        <v>222400</v>
      </c>
      <c r="C8" s="4" t="s">
        <v>16</v>
      </c>
      <c r="D8" s="6">
        <v>31</v>
      </c>
      <c r="E8" s="6">
        <v>948</v>
      </c>
      <c r="F8" s="7">
        <v>23.7</v>
      </c>
      <c r="G8" s="6">
        <v>22486</v>
      </c>
      <c r="H8" s="8">
        <v>4.7</v>
      </c>
      <c r="I8" s="8">
        <v>3.2</v>
      </c>
      <c r="J8" s="8">
        <v>1.5</v>
      </c>
      <c r="K8" s="8">
        <v>0.2</v>
      </c>
      <c r="L8" s="8">
        <v>0.13</v>
      </c>
      <c r="M8" s="8">
        <v>7.0000000000000007E-2</v>
      </c>
      <c r="N8" s="7">
        <v>112.6</v>
      </c>
      <c r="O8" s="7">
        <v>97.3</v>
      </c>
    </row>
    <row r="9" spans="1:15" x14ac:dyDescent="0.2">
      <c r="A9" s="4" t="s">
        <v>24</v>
      </c>
      <c r="B9" s="5">
        <v>222060</v>
      </c>
      <c r="C9" s="4" t="s">
        <v>25</v>
      </c>
      <c r="D9" s="6">
        <v>38</v>
      </c>
      <c r="E9" s="6">
        <v>1194</v>
      </c>
      <c r="F9" s="7">
        <v>20.6</v>
      </c>
      <c r="G9" s="6">
        <v>24600</v>
      </c>
      <c r="H9" s="8">
        <v>4.5</v>
      </c>
      <c r="I9" s="8">
        <v>3.2</v>
      </c>
      <c r="J9" s="8">
        <v>1.3</v>
      </c>
      <c r="K9" s="8">
        <v>0.15</v>
      </c>
      <c r="L9" s="8">
        <v>0.11</v>
      </c>
      <c r="M9" s="8">
        <v>0.04</v>
      </c>
      <c r="N9" s="7">
        <v>107</v>
      </c>
      <c r="O9" s="7">
        <v>101.3</v>
      </c>
    </row>
    <row r="10" spans="1:15" x14ac:dyDescent="0.2">
      <c r="A10" s="4" t="s">
        <v>26</v>
      </c>
      <c r="B10" s="5">
        <v>215000</v>
      </c>
      <c r="C10" s="4" t="s">
        <v>16</v>
      </c>
      <c r="D10" s="6">
        <v>39</v>
      </c>
      <c r="E10" s="6">
        <v>1039</v>
      </c>
      <c r="F10" s="7">
        <v>19.600000000000001</v>
      </c>
      <c r="G10" s="6">
        <v>20393</v>
      </c>
      <c r="H10" s="8">
        <v>4</v>
      </c>
      <c r="I10" s="8">
        <v>2.4</v>
      </c>
      <c r="J10" s="8">
        <v>1.6</v>
      </c>
      <c r="K10" s="8">
        <v>0.15</v>
      </c>
      <c r="L10" s="8">
        <v>0.09</v>
      </c>
      <c r="M10" s="8">
        <v>0.06</v>
      </c>
      <c r="N10" s="7">
        <v>105.5</v>
      </c>
      <c r="O10" s="7">
        <v>98.1</v>
      </c>
    </row>
    <row r="11" spans="1:15" x14ac:dyDescent="0.2">
      <c r="A11" s="4" t="s">
        <v>27</v>
      </c>
      <c r="B11" s="5">
        <v>215000</v>
      </c>
      <c r="C11" s="4" t="s">
        <v>16</v>
      </c>
      <c r="D11" s="6">
        <v>39</v>
      </c>
      <c r="E11" s="6">
        <v>1221</v>
      </c>
      <c r="F11" s="7">
        <v>25.1</v>
      </c>
      <c r="G11" s="6">
        <v>30588</v>
      </c>
      <c r="H11" s="8">
        <v>6.6</v>
      </c>
      <c r="I11" s="8">
        <v>4.4000000000000004</v>
      </c>
      <c r="J11" s="8">
        <v>2.2000000000000002</v>
      </c>
      <c r="K11" s="8">
        <v>0.22</v>
      </c>
      <c r="L11" s="8">
        <v>0.14000000000000001</v>
      </c>
      <c r="M11" s="8">
        <v>7.0000000000000007E-2</v>
      </c>
      <c r="N11" s="7">
        <v>113.5</v>
      </c>
      <c r="O11" s="7">
        <v>95.7</v>
      </c>
    </row>
    <row r="12" spans="1:15" x14ac:dyDescent="0.2">
      <c r="A12" s="4" t="s">
        <v>28</v>
      </c>
      <c r="B12" s="5">
        <v>214466</v>
      </c>
      <c r="C12" s="4" t="s">
        <v>29</v>
      </c>
      <c r="D12" s="6">
        <v>39</v>
      </c>
      <c r="E12" s="6">
        <v>810</v>
      </c>
      <c r="F12" s="7">
        <v>16.2</v>
      </c>
      <c r="G12" s="6">
        <v>13154</v>
      </c>
      <c r="H12" s="8">
        <v>2.4</v>
      </c>
      <c r="I12" s="8">
        <v>1.1000000000000001</v>
      </c>
      <c r="J12" s="8">
        <v>1.4</v>
      </c>
      <c r="K12" s="8">
        <v>0.12</v>
      </c>
      <c r="L12" s="8">
        <v>0.05</v>
      </c>
      <c r="M12" s="8">
        <v>7.0000000000000007E-2</v>
      </c>
      <c r="N12" s="7">
        <v>102.1</v>
      </c>
      <c r="O12" s="7">
        <v>96.6</v>
      </c>
    </row>
    <row r="13" spans="1:15" x14ac:dyDescent="0.2">
      <c r="A13" s="4" t="s">
        <v>30</v>
      </c>
      <c r="B13" s="5">
        <v>214466</v>
      </c>
      <c r="C13" s="4" t="s">
        <v>29</v>
      </c>
      <c r="D13" s="6">
        <v>44</v>
      </c>
      <c r="E13" s="6">
        <v>1060</v>
      </c>
      <c r="F13" s="7">
        <v>19.100000000000001</v>
      </c>
      <c r="G13" s="6">
        <v>20269</v>
      </c>
      <c r="H13" s="8">
        <v>4.0999999999999996</v>
      </c>
      <c r="I13" s="8">
        <v>2.4</v>
      </c>
      <c r="J13" s="8">
        <v>1.7</v>
      </c>
      <c r="K13" s="8">
        <v>0.15</v>
      </c>
      <c r="L13" s="8">
        <v>0.09</v>
      </c>
      <c r="M13" s="8">
        <v>0.06</v>
      </c>
      <c r="N13" s="7">
        <v>109.3</v>
      </c>
      <c r="O13" s="7">
        <v>97.4</v>
      </c>
    </row>
    <row r="14" spans="1:15" x14ac:dyDescent="0.2">
      <c r="A14" s="4" t="s">
        <v>31</v>
      </c>
      <c r="B14" s="5">
        <v>214466</v>
      </c>
      <c r="C14" s="4" t="s">
        <v>29</v>
      </c>
      <c r="D14" s="6">
        <v>43</v>
      </c>
      <c r="E14" s="6">
        <v>1343</v>
      </c>
      <c r="F14" s="7">
        <v>18.8</v>
      </c>
      <c r="G14" s="6">
        <v>25297</v>
      </c>
      <c r="H14" s="8">
        <v>4.8</v>
      </c>
      <c r="I14" s="8">
        <v>3.4</v>
      </c>
      <c r="J14" s="8">
        <v>1.3</v>
      </c>
      <c r="K14" s="8">
        <v>0.14000000000000001</v>
      </c>
      <c r="L14" s="8">
        <v>0.1</v>
      </c>
      <c r="M14" s="8">
        <v>0.04</v>
      </c>
      <c r="N14" s="7">
        <v>108.5</v>
      </c>
      <c r="O14" s="7">
        <v>102.1</v>
      </c>
    </row>
    <row r="15" spans="1:15" x14ac:dyDescent="0.2">
      <c r="A15" s="4" t="s">
        <v>32</v>
      </c>
      <c r="B15" s="5">
        <v>214466</v>
      </c>
      <c r="C15" s="4" t="s">
        <v>29</v>
      </c>
      <c r="D15" s="6">
        <v>44</v>
      </c>
      <c r="E15" s="6">
        <v>1169</v>
      </c>
      <c r="F15" s="7">
        <v>22.4</v>
      </c>
      <c r="G15" s="6">
        <v>26216</v>
      </c>
      <c r="H15" s="8">
        <v>6.3</v>
      </c>
      <c r="I15" s="8">
        <v>4.2</v>
      </c>
      <c r="J15" s="8">
        <v>2.1</v>
      </c>
      <c r="K15" s="8">
        <v>0.22</v>
      </c>
      <c r="L15" s="8">
        <v>0.14000000000000001</v>
      </c>
      <c r="M15" s="8">
        <v>7.0000000000000007E-2</v>
      </c>
      <c r="N15" s="7">
        <v>119.1</v>
      </c>
      <c r="O15" s="7">
        <v>95.9</v>
      </c>
    </row>
    <row r="16" spans="1:15" x14ac:dyDescent="0.2">
      <c r="A16" s="4" t="s">
        <v>33</v>
      </c>
      <c r="B16" s="5">
        <v>214284</v>
      </c>
      <c r="C16" s="4" t="s">
        <v>18</v>
      </c>
      <c r="D16" s="6">
        <v>33</v>
      </c>
      <c r="E16" s="6">
        <v>1065</v>
      </c>
      <c r="F16" s="7">
        <v>30.2</v>
      </c>
      <c r="G16" s="6">
        <v>32106</v>
      </c>
      <c r="H16" s="8">
        <v>7.6</v>
      </c>
      <c r="I16" s="8">
        <v>5.4</v>
      </c>
      <c r="J16" s="8">
        <v>2.2000000000000002</v>
      </c>
      <c r="K16" s="8">
        <v>0.28999999999999998</v>
      </c>
      <c r="L16" s="8">
        <v>0.2</v>
      </c>
      <c r="M16" s="8">
        <v>0.08</v>
      </c>
      <c r="N16" s="7">
        <v>122.9</v>
      </c>
      <c r="O16" s="7">
        <v>93.8</v>
      </c>
    </row>
    <row r="17" spans="1:15" x14ac:dyDescent="0.2">
      <c r="A17" s="4" t="s">
        <v>34</v>
      </c>
      <c r="B17" s="5">
        <v>210000</v>
      </c>
      <c r="C17" s="4" t="s">
        <v>35</v>
      </c>
      <c r="D17" s="6">
        <v>35</v>
      </c>
      <c r="E17" s="6">
        <v>1103</v>
      </c>
      <c r="F17" s="7">
        <v>11.3</v>
      </c>
      <c r="G17" s="6">
        <v>12490</v>
      </c>
      <c r="H17" s="8">
        <v>-0.1</v>
      </c>
      <c r="I17" s="8">
        <v>0</v>
      </c>
      <c r="J17" s="8">
        <v>-0.1</v>
      </c>
      <c r="K17" s="8">
        <v>0</v>
      </c>
      <c r="L17" s="8">
        <v>0</v>
      </c>
      <c r="M17" s="8">
        <v>0</v>
      </c>
      <c r="N17" s="7">
        <v>91.9</v>
      </c>
      <c r="O17" s="7">
        <v>110.6</v>
      </c>
    </row>
    <row r="18" spans="1:15" x14ac:dyDescent="0.2">
      <c r="A18" s="4" t="s">
        <v>36</v>
      </c>
      <c r="B18" s="5">
        <v>209000</v>
      </c>
      <c r="C18" s="4" t="s">
        <v>29</v>
      </c>
      <c r="D18" s="6">
        <v>31</v>
      </c>
      <c r="E18" s="6">
        <v>830</v>
      </c>
      <c r="F18" s="7">
        <v>20.399999999999999</v>
      </c>
      <c r="G18" s="6">
        <v>16905</v>
      </c>
      <c r="H18" s="8">
        <v>3.4</v>
      </c>
      <c r="I18" s="8">
        <v>2.2000000000000002</v>
      </c>
      <c r="J18" s="8">
        <v>1.3</v>
      </c>
      <c r="K18" s="8">
        <v>0.17</v>
      </c>
      <c r="L18" s="8">
        <v>0.1</v>
      </c>
      <c r="M18" s="8">
        <v>0.06</v>
      </c>
      <c r="N18" s="7">
        <v>110.8</v>
      </c>
      <c r="O18" s="7">
        <v>97.9</v>
      </c>
    </row>
    <row r="19" spans="1:15" x14ac:dyDescent="0.2">
      <c r="A19" s="4" t="s">
        <v>37</v>
      </c>
      <c r="B19" s="5">
        <v>205908</v>
      </c>
      <c r="C19" s="4" t="s">
        <v>29</v>
      </c>
      <c r="D19" s="6">
        <v>42</v>
      </c>
      <c r="E19" s="6">
        <v>828</v>
      </c>
      <c r="F19" s="7">
        <v>7.1</v>
      </c>
      <c r="G19" s="6">
        <v>5868</v>
      </c>
      <c r="H19" s="8">
        <v>1</v>
      </c>
      <c r="I19" s="8">
        <v>0.3</v>
      </c>
      <c r="J19" s="8">
        <v>0.8</v>
      </c>
      <c r="K19" s="8">
        <v>0.05</v>
      </c>
      <c r="L19" s="8">
        <v>0.01</v>
      </c>
      <c r="M19" s="8">
        <v>0.04</v>
      </c>
      <c r="N19" s="7">
        <v>97.3</v>
      </c>
      <c r="O19" s="7">
        <v>102.9</v>
      </c>
    </row>
    <row r="20" spans="1:15" x14ac:dyDescent="0.2">
      <c r="A20" s="4" t="s">
        <v>38</v>
      </c>
      <c r="B20" s="5">
        <v>205000</v>
      </c>
      <c r="C20" s="4" t="s">
        <v>29</v>
      </c>
      <c r="D20" s="6">
        <v>39</v>
      </c>
      <c r="E20" s="6">
        <v>1220</v>
      </c>
      <c r="F20" s="7">
        <v>16.100000000000001</v>
      </c>
      <c r="G20" s="6">
        <v>19646</v>
      </c>
      <c r="H20" s="8">
        <v>4.5</v>
      </c>
      <c r="I20" s="8">
        <v>3.1</v>
      </c>
      <c r="J20" s="8">
        <v>1.4</v>
      </c>
      <c r="K20" s="8">
        <v>0.15</v>
      </c>
      <c r="L20" s="8">
        <v>0.1</v>
      </c>
      <c r="M20" s="8">
        <v>0.05</v>
      </c>
      <c r="N20" s="7">
        <v>113.3</v>
      </c>
      <c r="O20" s="7">
        <v>101.2</v>
      </c>
    </row>
    <row r="21" spans="1:15" x14ac:dyDescent="0.2">
      <c r="A21" s="4" t="s">
        <v>39</v>
      </c>
      <c r="B21" s="5">
        <v>203000</v>
      </c>
      <c r="C21" s="4" t="s">
        <v>29</v>
      </c>
      <c r="D21" s="6">
        <v>40</v>
      </c>
      <c r="E21" s="6">
        <v>882</v>
      </c>
      <c r="F21" s="7">
        <v>13.5</v>
      </c>
      <c r="G21" s="6">
        <v>11924</v>
      </c>
      <c r="H21" s="8">
        <v>1.1000000000000001</v>
      </c>
      <c r="I21" s="8">
        <v>0.6</v>
      </c>
      <c r="J21" s="8">
        <v>0.5</v>
      </c>
      <c r="K21" s="8">
        <v>0.05</v>
      </c>
      <c r="L21" s="8">
        <v>0.03</v>
      </c>
      <c r="M21" s="8">
        <v>0.02</v>
      </c>
      <c r="N21" s="7">
        <v>97.7</v>
      </c>
      <c r="O21" s="7">
        <v>105.4</v>
      </c>
    </row>
    <row r="22" spans="1:15" x14ac:dyDescent="0.2">
      <c r="A22" s="4" t="s">
        <v>40</v>
      </c>
      <c r="B22" s="5">
        <v>202000</v>
      </c>
      <c r="C22" s="4" t="s">
        <v>18</v>
      </c>
      <c r="D22" s="6">
        <v>44</v>
      </c>
      <c r="E22" s="6">
        <v>1374</v>
      </c>
      <c r="F22" s="7">
        <v>23.7</v>
      </c>
      <c r="G22" s="6">
        <v>32604</v>
      </c>
      <c r="H22" s="8">
        <v>5.5</v>
      </c>
      <c r="I22" s="8">
        <v>4.7</v>
      </c>
      <c r="J22" s="8">
        <v>0.9</v>
      </c>
      <c r="K22" s="8">
        <v>0.16</v>
      </c>
      <c r="L22" s="8">
        <v>0.14000000000000001</v>
      </c>
      <c r="M22" s="8">
        <v>0.03</v>
      </c>
      <c r="N22" s="7">
        <v>113.7</v>
      </c>
      <c r="O22" s="7">
        <v>105</v>
      </c>
    </row>
    <row r="23" spans="1:15" x14ac:dyDescent="0.2">
      <c r="A23" s="4" t="s">
        <v>41</v>
      </c>
      <c r="B23" s="5">
        <v>202000</v>
      </c>
      <c r="C23" s="4" t="s">
        <v>16</v>
      </c>
      <c r="D23" s="6">
        <v>43</v>
      </c>
      <c r="E23" s="6">
        <v>1508</v>
      </c>
      <c r="F23" s="7">
        <v>18.100000000000001</v>
      </c>
      <c r="G23" s="6">
        <v>27311</v>
      </c>
      <c r="H23" s="8">
        <v>4.5</v>
      </c>
      <c r="I23" s="8">
        <v>4.5999999999999996</v>
      </c>
      <c r="J23" s="8">
        <v>-0.1</v>
      </c>
      <c r="K23" s="8">
        <v>0.12</v>
      </c>
      <c r="L23" s="8">
        <v>0.12</v>
      </c>
      <c r="M23" s="8">
        <v>0</v>
      </c>
      <c r="N23" s="7">
        <v>111.4</v>
      </c>
      <c r="O23" s="7">
        <v>110.5</v>
      </c>
    </row>
    <row r="24" spans="1:15" x14ac:dyDescent="0.2">
      <c r="A24" s="4" t="s">
        <v>42</v>
      </c>
      <c r="B24" s="5">
        <v>201400</v>
      </c>
      <c r="C24" s="4" t="s">
        <v>35</v>
      </c>
      <c r="D24" s="6">
        <v>17</v>
      </c>
      <c r="E24" s="6">
        <v>219</v>
      </c>
      <c r="F24" s="7">
        <v>19.600000000000001</v>
      </c>
      <c r="G24" s="6">
        <v>4280</v>
      </c>
      <c r="H24" s="8">
        <v>0.7</v>
      </c>
      <c r="I24" s="8">
        <v>0.5</v>
      </c>
      <c r="J24" s="8">
        <v>0.2</v>
      </c>
      <c r="K24" s="8">
        <v>0.13</v>
      </c>
      <c r="L24" s="8">
        <v>0.1</v>
      </c>
      <c r="M24" s="8">
        <v>0.03</v>
      </c>
      <c r="N24" s="7">
        <v>113</v>
      </c>
      <c r="O24" s="7">
        <v>104.5</v>
      </c>
    </row>
    <row r="25" spans="1:15" x14ac:dyDescent="0.2">
      <c r="A25" s="4" t="s">
        <v>43</v>
      </c>
      <c r="B25" s="5">
        <v>200000</v>
      </c>
      <c r="C25" s="4" t="s">
        <v>29</v>
      </c>
      <c r="D25" s="6">
        <v>26</v>
      </c>
      <c r="E25" s="6">
        <v>700</v>
      </c>
      <c r="F25" s="7">
        <v>14.1</v>
      </c>
      <c r="G25" s="6">
        <v>9863</v>
      </c>
      <c r="H25" s="8">
        <v>2</v>
      </c>
      <c r="I25" s="8">
        <v>1.3</v>
      </c>
      <c r="J25" s="8">
        <v>0.7</v>
      </c>
      <c r="K25" s="8">
        <v>0.12</v>
      </c>
      <c r="L25" s="8">
        <v>0.08</v>
      </c>
      <c r="M25" s="8">
        <v>0.04</v>
      </c>
      <c r="N25" s="7">
        <v>106.7</v>
      </c>
      <c r="O25" s="7">
        <v>101.9</v>
      </c>
    </row>
    <row r="26" spans="1:15" x14ac:dyDescent="0.2">
      <c r="A26" s="4" t="s">
        <v>44</v>
      </c>
      <c r="B26" s="5">
        <v>200000</v>
      </c>
      <c r="C26" s="4" t="s">
        <v>29</v>
      </c>
      <c r="D26" s="6">
        <v>41</v>
      </c>
      <c r="E26" s="6">
        <v>1191</v>
      </c>
      <c r="F26" s="7">
        <v>14.3</v>
      </c>
      <c r="G26" s="6">
        <v>16970</v>
      </c>
      <c r="H26" s="8">
        <v>3.5</v>
      </c>
      <c r="I26" s="8">
        <v>2.2000000000000002</v>
      </c>
      <c r="J26" s="8">
        <v>1.3</v>
      </c>
      <c r="K26" s="8">
        <v>0.12</v>
      </c>
      <c r="L26" s="8">
        <v>7.0000000000000007E-2</v>
      </c>
      <c r="M26" s="8">
        <v>0.04</v>
      </c>
      <c r="N26" s="7">
        <v>108.1</v>
      </c>
      <c r="O26" s="7">
        <v>101.7</v>
      </c>
    </row>
    <row r="27" spans="1:15" x14ac:dyDescent="0.2">
      <c r="A27" s="4" t="s">
        <v>45</v>
      </c>
      <c r="B27" s="5">
        <v>200000</v>
      </c>
      <c r="C27" s="4" t="s">
        <v>35</v>
      </c>
      <c r="D27" s="6">
        <v>31</v>
      </c>
      <c r="E27" s="6">
        <v>680</v>
      </c>
      <c r="F27" s="7">
        <v>12.9</v>
      </c>
      <c r="G27" s="6">
        <v>8768</v>
      </c>
      <c r="H27" s="8">
        <v>0.8</v>
      </c>
      <c r="I27" s="8">
        <v>0.3</v>
      </c>
      <c r="J27" s="8">
        <v>0.5</v>
      </c>
      <c r="K27" s="8">
        <v>0.05</v>
      </c>
      <c r="L27" s="8">
        <v>0.02</v>
      </c>
      <c r="M27" s="8">
        <v>0.03</v>
      </c>
      <c r="N27" s="7">
        <v>95.2</v>
      </c>
      <c r="O27" s="7">
        <v>103.9</v>
      </c>
    </row>
    <row r="28" spans="1:15" x14ac:dyDescent="0.2">
      <c r="A28" s="4" t="s">
        <v>46</v>
      </c>
      <c r="B28" s="5">
        <v>200000</v>
      </c>
      <c r="C28" s="4" t="s">
        <v>35</v>
      </c>
      <c r="D28" s="6">
        <v>40</v>
      </c>
      <c r="E28" s="6">
        <v>1247</v>
      </c>
      <c r="F28" s="7">
        <v>33.1</v>
      </c>
      <c r="G28" s="6">
        <v>41343</v>
      </c>
      <c r="H28" s="8">
        <v>8.9</v>
      </c>
      <c r="I28" s="8">
        <v>6.3</v>
      </c>
      <c r="J28" s="8">
        <v>2.6</v>
      </c>
      <c r="K28" s="8">
        <v>0.28999999999999998</v>
      </c>
      <c r="L28" s="8">
        <v>0.2</v>
      </c>
      <c r="M28" s="8">
        <v>0.08</v>
      </c>
      <c r="N28" s="7">
        <v>118.6</v>
      </c>
      <c r="O28" s="7">
        <v>93.3</v>
      </c>
    </row>
    <row r="29" spans="1:15" x14ac:dyDescent="0.2">
      <c r="A29" s="4" t="s">
        <v>47</v>
      </c>
      <c r="B29" s="5">
        <v>196267</v>
      </c>
      <c r="C29" s="4" t="s">
        <v>29</v>
      </c>
      <c r="D29" s="6">
        <v>44</v>
      </c>
      <c r="E29" s="6">
        <v>1368</v>
      </c>
      <c r="F29" s="7">
        <v>15.3</v>
      </c>
      <c r="G29" s="6">
        <v>20967</v>
      </c>
      <c r="H29" s="8">
        <v>3.7</v>
      </c>
      <c r="I29" s="8">
        <v>2.2000000000000002</v>
      </c>
      <c r="J29" s="8">
        <v>1.4</v>
      </c>
      <c r="K29" s="8">
        <v>0.11</v>
      </c>
      <c r="L29" s="8">
        <v>7.0000000000000007E-2</v>
      </c>
      <c r="M29" s="8">
        <v>0.04</v>
      </c>
      <c r="N29" s="7">
        <v>105.5</v>
      </c>
      <c r="O29" s="7">
        <v>101.9</v>
      </c>
    </row>
    <row r="30" spans="1:15" x14ac:dyDescent="0.2">
      <c r="A30" s="4" t="s">
        <v>48</v>
      </c>
      <c r="B30" s="5">
        <v>195000</v>
      </c>
      <c r="C30" s="4" t="s">
        <v>29</v>
      </c>
      <c r="D30" s="6">
        <v>39</v>
      </c>
      <c r="E30" s="6">
        <v>1193</v>
      </c>
      <c r="F30" s="7">
        <v>13.5</v>
      </c>
      <c r="G30" s="6">
        <v>16124</v>
      </c>
      <c r="H30" s="8">
        <v>2.1</v>
      </c>
      <c r="I30" s="8">
        <v>1</v>
      </c>
      <c r="J30" s="8">
        <v>1.1000000000000001</v>
      </c>
      <c r="K30" s="8">
        <v>7.0000000000000007E-2</v>
      </c>
      <c r="L30" s="8">
        <v>0.03</v>
      </c>
      <c r="M30" s="8">
        <v>0.04</v>
      </c>
      <c r="N30" s="7">
        <v>97.7</v>
      </c>
      <c r="O30" s="7">
        <v>102.9</v>
      </c>
    </row>
    <row r="31" spans="1:15" x14ac:dyDescent="0.2">
      <c r="A31" s="4" t="s">
        <v>49</v>
      </c>
      <c r="B31" s="5">
        <v>195000</v>
      </c>
      <c r="C31" s="4" t="s">
        <v>29</v>
      </c>
      <c r="D31" s="6">
        <v>44</v>
      </c>
      <c r="E31" s="6">
        <v>1249</v>
      </c>
      <c r="F31" s="7">
        <v>20</v>
      </c>
      <c r="G31" s="6">
        <v>24953</v>
      </c>
      <c r="H31" s="8">
        <v>4.5</v>
      </c>
      <c r="I31" s="8">
        <v>3.4</v>
      </c>
      <c r="J31" s="8">
        <v>1.1000000000000001</v>
      </c>
      <c r="K31" s="8">
        <v>0.14000000000000001</v>
      </c>
      <c r="L31" s="8">
        <v>0.11</v>
      </c>
      <c r="M31" s="8">
        <v>0.04</v>
      </c>
      <c r="N31" s="7">
        <v>115.5</v>
      </c>
      <c r="O31" s="7">
        <v>102.9</v>
      </c>
    </row>
    <row r="32" spans="1:15" x14ac:dyDescent="0.2">
      <c r="A32" s="4" t="s">
        <v>50</v>
      </c>
      <c r="B32" s="5">
        <v>195000</v>
      </c>
      <c r="C32" s="4" t="s">
        <v>29</v>
      </c>
      <c r="D32" s="6">
        <v>44</v>
      </c>
      <c r="E32" s="6">
        <v>1359</v>
      </c>
      <c r="F32" s="7">
        <v>22</v>
      </c>
      <c r="G32" s="6">
        <v>29825</v>
      </c>
      <c r="H32" s="8">
        <v>5.6</v>
      </c>
      <c r="I32" s="8">
        <v>3.7</v>
      </c>
      <c r="J32" s="8">
        <v>1.9</v>
      </c>
      <c r="K32" s="8">
        <v>0.16</v>
      </c>
      <c r="L32" s="8">
        <v>0.11</v>
      </c>
      <c r="M32" s="8">
        <v>0.06</v>
      </c>
      <c r="N32" s="7">
        <v>110.3</v>
      </c>
      <c r="O32" s="7">
        <v>99</v>
      </c>
    </row>
    <row r="33" spans="1:15" x14ac:dyDescent="0.2">
      <c r="A33" s="4" t="s">
        <v>51</v>
      </c>
      <c r="B33" s="5">
        <v>190000</v>
      </c>
      <c r="C33" s="4" t="s">
        <v>29</v>
      </c>
      <c r="D33" s="6">
        <v>28</v>
      </c>
      <c r="E33" s="6">
        <v>783</v>
      </c>
      <c r="F33" s="7">
        <v>16.5</v>
      </c>
      <c r="G33" s="6">
        <v>12900</v>
      </c>
      <c r="H33" s="8">
        <v>2.7</v>
      </c>
      <c r="I33" s="8">
        <v>1.3</v>
      </c>
      <c r="J33" s="8">
        <v>1.4</v>
      </c>
      <c r="K33" s="8">
        <v>0.14000000000000001</v>
      </c>
      <c r="L33" s="8">
        <v>7.0000000000000007E-2</v>
      </c>
      <c r="M33" s="8">
        <v>7.0000000000000007E-2</v>
      </c>
      <c r="N33" s="7">
        <v>104</v>
      </c>
      <c r="O33" s="7">
        <v>96.4</v>
      </c>
    </row>
    <row r="34" spans="1:15" x14ac:dyDescent="0.2">
      <c r="A34" s="4" t="s">
        <v>52</v>
      </c>
      <c r="B34" s="5">
        <v>190000</v>
      </c>
      <c r="C34" s="4" t="s">
        <v>35</v>
      </c>
      <c r="D34" s="6">
        <v>42</v>
      </c>
      <c r="E34" s="6">
        <v>1451</v>
      </c>
      <c r="F34" s="7">
        <v>19.600000000000001</v>
      </c>
      <c r="G34" s="6">
        <v>28457</v>
      </c>
      <c r="H34" s="8">
        <v>7.2</v>
      </c>
      <c r="I34" s="8">
        <v>5.2</v>
      </c>
      <c r="J34" s="8">
        <v>2</v>
      </c>
      <c r="K34" s="8">
        <v>0.2</v>
      </c>
      <c r="L34" s="8">
        <v>0.14000000000000001</v>
      </c>
      <c r="M34" s="8">
        <v>0.06</v>
      </c>
      <c r="N34" s="7">
        <v>119</v>
      </c>
      <c r="O34" s="7">
        <v>99.2</v>
      </c>
    </row>
    <row r="35" spans="1:15" x14ac:dyDescent="0.2">
      <c r="A35" s="4" t="s">
        <v>53</v>
      </c>
      <c r="B35" s="5">
        <v>186000</v>
      </c>
      <c r="C35" s="4" t="s">
        <v>54</v>
      </c>
      <c r="D35" s="6">
        <v>44</v>
      </c>
      <c r="E35" s="6">
        <v>1203</v>
      </c>
      <c r="F35" s="7">
        <v>15.9</v>
      </c>
      <c r="G35" s="6">
        <v>19090</v>
      </c>
      <c r="H35" s="8">
        <v>4.2</v>
      </c>
      <c r="I35" s="8">
        <v>2.2999999999999998</v>
      </c>
      <c r="J35" s="8">
        <v>1.9</v>
      </c>
      <c r="K35" s="8">
        <v>0.14000000000000001</v>
      </c>
      <c r="L35" s="8">
        <v>0.08</v>
      </c>
      <c r="M35" s="8">
        <v>0.06</v>
      </c>
      <c r="N35" s="7">
        <v>112.9</v>
      </c>
      <c r="O35" s="7">
        <v>97.5</v>
      </c>
    </row>
    <row r="36" spans="1:15" x14ac:dyDescent="0.2">
      <c r="A36" s="4" t="s">
        <v>55</v>
      </c>
      <c r="B36" s="5">
        <v>185000</v>
      </c>
      <c r="C36" s="4" t="s">
        <v>29</v>
      </c>
      <c r="D36" s="6">
        <v>7</v>
      </c>
      <c r="E36" s="6">
        <v>191</v>
      </c>
      <c r="F36" s="7">
        <v>15.4</v>
      </c>
      <c r="G36" s="6">
        <v>2937</v>
      </c>
      <c r="H36" s="8">
        <v>0.3</v>
      </c>
      <c r="I36" s="8">
        <v>0.2</v>
      </c>
      <c r="J36" s="8">
        <v>0.1</v>
      </c>
      <c r="K36" s="8">
        <v>7.0000000000000007E-2</v>
      </c>
      <c r="L36" s="8">
        <v>0.05</v>
      </c>
      <c r="M36" s="8">
        <v>0.02</v>
      </c>
      <c r="N36" s="7">
        <v>101.6</v>
      </c>
      <c r="O36" s="7">
        <v>106.7</v>
      </c>
    </row>
    <row r="37" spans="1:15" x14ac:dyDescent="0.2">
      <c r="A37" s="4" t="s">
        <v>56</v>
      </c>
      <c r="B37" s="5">
        <v>180000</v>
      </c>
      <c r="C37" s="4" t="s">
        <v>29</v>
      </c>
      <c r="D37" s="6">
        <v>44</v>
      </c>
      <c r="E37" s="6">
        <v>1260</v>
      </c>
      <c r="F37" s="7">
        <v>18.100000000000001</v>
      </c>
      <c r="G37" s="6">
        <v>22825</v>
      </c>
      <c r="H37" s="8">
        <v>4.5</v>
      </c>
      <c r="I37" s="8">
        <v>2.5</v>
      </c>
      <c r="J37" s="8">
        <v>2.1</v>
      </c>
      <c r="K37" s="8">
        <v>0.14000000000000001</v>
      </c>
      <c r="L37" s="8">
        <v>0.08</v>
      </c>
      <c r="M37" s="8">
        <v>7.0000000000000007E-2</v>
      </c>
      <c r="N37" s="7">
        <v>104.1</v>
      </c>
      <c r="O37" s="7">
        <v>97.1</v>
      </c>
    </row>
    <row r="38" spans="1:15" x14ac:dyDescent="0.2">
      <c r="A38" s="4" t="s">
        <v>57</v>
      </c>
      <c r="B38" s="5">
        <v>170000</v>
      </c>
      <c r="C38" s="4" t="s">
        <v>29</v>
      </c>
      <c r="D38" s="6">
        <v>43</v>
      </c>
      <c r="E38" s="6">
        <v>653</v>
      </c>
      <c r="F38" s="7">
        <v>8.5</v>
      </c>
      <c r="G38" s="6">
        <v>5541</v>
      </c>
      <c r="H38" s="8">
        <v>1</v>
      </c>
      <c r="I38" s="8">
        <v>0.5</v>
      </c>
      <c r="J38" s="8">
        <v>0.5</v>
      </c>
      <c r="K38" s="8">
        <v>0.06</v>
      </c>
      <c r="L38" s="8">
        <v>0.03</v>
      </c>
      <c r="M38" s="8">
        <v>0.03</v>
      </c>
      <c r="N38" s="7">
        <v>102.3</v>
      </c>
      <c r="O38" s="7">
        <v>104.2</v>
      </c>
    </row>
    <row r="39" spans="1:15" x14ac:dyDescent="0.2">
      <c r="A39" s="4" t="s">
        <v>58</v>
      </c>
      <c r="B39" s="5">
        <v>170000</v>
      </c>
      <c r="C39" s="4" t="s">
        <v>29</v>
      </c>
      <c r="D39" s="6">
        <v>43</v>
      </c>
      <c r="E39" s="6">
        <v>1222</v>
      </c>
      <c r="F39" s="7">
        <v>17.899999999999999</v>
      </c>
      <c r="G39" s="6">
        <v>21819</v>
      </c>
      <c r="H39" s="8">
        <v>2.2000000000000002</v>
      </c>
      <c r="I39" s="8">
        <v>1.9</v>
      </c>
      <c r="J39" s="8">
        <v>0.2</v>
      </c>
      <c r="K39" s="8">
        <v>7.0000000000000007E-2</v>
      </c>
      <c r="L39" s="8">
        <v>0.06</v>
      </c>
      <c r="M39" s="8">
        <v>0.01</v>
      </c>
      <c r="N39" s="7">
        <v>101.6</v>
      </c>
      <c r="O39" s="7">
        <v>108.5</v>
      </c>
    </row>
    <row r="40" spans="1:15" x14ac:dyDescent="0.2">
      <c r="A40" s="4" t="s">
        <v>59</v>
      </c>
      <c r="B40" s="5">
        <v>169950</v>
      </c>
      <c r="C40" s="4" t="s">
        <v>18</v>
      </c>
      <c r="D40" s="6">
        <v>44</v>
      </c>
      <c r="E40" s="6">
        <v>1336</v>
      </c>
      <c r="F40" s="7">
        <v>22.1</v>
      </c>
      <c r="G40" s="6">
        <v>29572</v>
      </c>
      <c r="H40" s="8">
        <v>6.3</v>
      </c>
      <c r="I40" s="8">
        <v>5</v>
      </c>
      <c r="J40" s="8">
        <v>1.3</v>
      </c>
      <c r="K40" s="8">
        <v>0.19</v>
      </c>
      <c r="L40" s="8">
        <v>0.15</v>
      </c>
      <c r="M40" s="8">
        <v>0.04</v>
      </c>
      <c r="N40" s="7">
        <v>116.9</v>
      </c>
      <c r="O40" s="7">
        <v>102.5</v>
      </c>
    </row>
    <row r="41" spans="1:15" x14ac:dyDescent="0.2">
      <c r="A41" s="4" t="s">
        <v>60</v>
      </c>
      <c r="B41" s="5">
        <v>160000</v>
      </c>
      <c r="C41" s="4" t="s">
        <v>29</v>
      </c>
      <c r="D41" s="6">
        <v>44</v>
      </c>
      <c r="E41" s="6">
        <v>821</v>
      </c>
      <c r="F41" s="7">
        <v>7.9</v>
      </c>
      <c r="G41" s="6">
        <v>6497</v>
      </c>
      <c r="H41" s="8">
        <v>0</v>
      </c>
      <c r="I41" s="8">
        <v>-0.1</v>
      </c>
      <c r="J41" s="8">
        <v>0.2</v>
      </c>
      <c r="K41" s="8">
        <v>0</v>
      </c>
      <c r="L41" s="8">
        <v>-0.01</v>
      </c>
      <c r="M41" s="8">
        <v>0.01</v>
      </c>
      <c r="N41" s="7">
        <v>90.2</v>
      </c>
      <c r="O41" s="7">
        <v>108.6</v>
      </c>
    </row>
    <row r="42" spans="1:15" x14ac:dyDescent="0.2">
      <c r="A42" s="4" t="s">
        <v>61</v>
      </c>
      <c r="B42" s="5">
        <v>150000</v>
      </c>
      <c r="C42" s="4" t="s">
        <v>29</v>
      </c>
      <c r="D42" s="6">
        <v>41</v>
      </c>
      <c r="E42" s="6">
        <v>354</v>
      </c>
      <c r="F42" s="7">
        <v>7.8</v>
      </c>
      <c r="G42" s="6">
        <v>2759</v>
      </c>
      <c r="H42" s="8">
        <v>0.6</v>
      </c>
      <c r="I42" s="8">
        <v>0.1</v>
      </c>
      <c r="J42" s="8">
        <v>0.5</v>
      </c>
      <c r="K42" s="8">
        <v>7.0000000000000007E-2</v>
      </c>
      <c r="L42" s="8">
        <v>0.01</v>
      </c>
      <c r="M42" s="8">
        <v>0.06</v>
      </c>
      <c r="N42" s="7">
        <v>97.5</v>
      </c>
      <c r="O42" s="7">
        <v>99</v>
      </c>
    </row>
    <row r="43" spans="1:15" x14ac:dyDescent="0.2">
      <c r="A43" s="4" t="s">
        <v>62</v>
      </c>
      <c r="B43" s="5">
        <v>150000</v>
      </c>
      <c r="C43" s="4" t="s">
        <v>29</v>
      </c>
      <c r="D43" s="6">
        <v>44</v>
      </c>
      <c r="E43" s="6">
        <v>455</v>
      </c>
      <c r="F43" s="7">
        <v>14.1</v>
      </c>
      <c r="G43" s="6">
        <v>6402</v>
      </c>
      <c r="H43" s="8">
        <v>1.4</v>
      </c>
      <c r="I43" s="8">
        <v>0.6</v>
      </c>
      <c r="J43" s="8">
        <v>0.8</v>
      </c>
      <c r="K43" s="8">
        <v>0.12</v>
      </c>
      <c r="L43" s="8">
        <v>0.05</v>
      </c>
      <c r="M43" s="8">
        <v>7.0000000000000007E-2</v>
      </c>
      <c r="N43" s="7">
        <v>102.7</v>
      </c>
      <c r="O43" s="7">
        <v>96.4</v>
      </c>
    </row>
    <row r="44" spans="1:15" x14ac:dyDescent="0.2">
      <c r="A44" s="4" t="s">
        <v>63</v>
      </c>
      <c r="B44" s="5">
        <v>150000</v>
      </c>
      <c r="C44" s="4" t="s">
        <v>29</v>
      </c>
      <c r="D44" s="6">
        <v>42</v>
      </c>
      <c r="E44" s="6">
        <v>1114</v>
      </c>
      <c r="F44" s="7">
        <v>18</v>
      </c>
      <c r="G44" s="6">
        <v>20095</v>
      </c>
      <c r="H44" s="8">
        <v>4.5</v>
      </c>
      <c r="I44" s="8">
        <v>2.2000000000000002</v>
      </c>
      <c r="J44" s="8">
        <v>2.2999999999999998</v>
      </c>
      <c r="K44" s="8">
        <v>0.16</v>
      </c>
      <c r="L44" s="8">
        <v>0.08</v>
      </c>
      <c r="M44" s="8">
        <v>0.08</v>
      </c>
      <c r="N44" s="7">
        <v>110</v>
      </c>
      <c r="O44" s="7">
        <v>93.7</v>
      </c>
    </row>
    <row r="45" spans="1:15" x14ac:dyDescent="0.2">
      <c r="A45" s="4" t="s">
        <v>64</v>
      </c>
      <c r="B45" s="5">
        <v>145500</v>
      </c>
      <c r="C45" s="4" t="s">
        <v>29</v>
      </c>
      <c r="D45" s="6">
        <v>5</v>
      </c>
      <c r="E45" s="6">
        <v>35</v>
      </c>
      <c r="F45" s="7">
        <v>9.3000000000000007</v>
      </c>
      <c r="G45" s="6">
        <v>327000</v>
      </c>
      <c r="H45" s="8">
        <v>0</v>
      </c>
      <c r="I45" s="8">
        <v>0</v>
      </c>
      <c r="J45" s="8">
        <v>0</v>
      </c>
      <c r="K45" s="8">
        <v>0.03</v>
      </c>
      <c r="L45" s="8">
        <v>0.04</v>
      </c>
      <c r="M45" s="8">
        <v>-0.01</v>
      </c>
      <c r="N45" s="7">
        <v>104.7</v>
      </c>
      <c r="O45" s="7">
        <v>112</v>
      </c>
    </row>
    <row r="46" spans="1:15" x14ac:dyDescent="0.2">
      <c r="A46" s="4" t="s">
        <v>65</v>
      </c>
      <c r="B46" s="5">
        <v>145000</v>
      </c>
      <c r="C46" s="4" t="s">
        <v>29</v>
      </c>
      <c r="D46" s="6">
        <v>44</v>
      </c>
      <c r="E46" s="6">
        <v>962</v>
      </c>
      <c r="F46" s="7">
        <v>7.3</v>
      </c>
      <c r="G46" s="6">
        <v>7004</v>
      </c>
      <c r="H46" s="8">
        <v>0</v>
      </c>
      <c r="I46" s="8">
        <v>0.3</v>
      </c>
      <c r="J46" s="8">
        <v>-0.3</v>
      </c>
      <c r="K46" s="8">
        <v>0</v>
      </c>
      <c r="L46" s="8">
        <v>0.01</v>
      </c>
      <c r="M46" s="8">
        <v>-0.01</v>
      </c>
      <c r="N46" s="7">
        <v>95.2</v>
      </c>
      <c r="O46" s="7">
        <v>112.5</v>
      </c>
    </row>
    <row r="47" spans="1:15" x14ac:dyDescent="0.2">
      <c r="A47" s="4" t="s">
        <v>66</v>
      </c>
      <c r="B47" s="5">
        <v>137500</v>
      </c>
      <c r="C47" s="4" t="s">
        <v>29</v>
      </c>
      <c r="D47" s="6">
        <v>28</v>
      </c>
      <c r="E47" s="6">
        <v>515</v>
      </c>
      <c r="F47" s="7">
        <v>13</v>
      </c>
      <c r="G47" s="6">
        <v>6719</v>
      </c>
      <c r="H47" s="8">
        <v>0.7</v>
      </c>
      <c r="I47" s="8">
        <v>0.7</v>
      </c>
      <c r="J47" s="8">
        <v>0</v>
      </c>
      <c r="K47" s="8">
        <v>0.06</v>
      </c>
      <c r="L47" s="8">
        <v>0.06</v>
      </c>
      <c r="M47" s="8">
        <v>0</v>
      </c>
      <c r="N47" s="7">
        <v>104.5</v>
      </c>
      <c r="O47" s="7">
        <v>110.1</v>
      </c>
    </row>
    <row r="48" spans="1:15" x14ac:dyDescent="0.2">
      <c r="A48" s="4" t="s">
        <v>67</v>
      </c>
      <c r="B48" s="5">
        <v>135000</v>
      </c>
      <c r="C48" s="4" t="s">
        <v>29</v>
      </c>
      <c r="D48" s="6">
        <v>44</v>
      </c>
      <c r="E48" s="6">
        <v>833</v>
      </c>
      <c r="F48" s="7">
        <v>18.100000000000001</v>
      </c>
      <c r="G48" s="6">
        <v>15031</v>
      </c>
      <c r="H48" s="8">
        <v>3.4</v>
      </c>
      <c r="I48" s="8">
        <v>2.4</v>
      </c>
      <c r="J48" s="8">
        <v>1.1000000000000001</v>
      </c>
      <c r="K48" s="8">
        <v>0.16</v>
      </c>
      <c r="L48" s="8">
        <v>0.11</v>
      </c>
      <c r="M48" s="8">
        <v>0.05</v>
      </c>
      <c r="N48" s="7">
        <v>114</v>
      </c>
      <c r="O48" s="7">
        <v>100.1</v>
      </c>
    </row>
    <row r="49" spans="1:15" x14ac:dyDescent="0.2">
      <c r="A49" s="4" t="s">
        <v>68</v>
      </c>
      <c r="B49" s="5">
        <v>132000</v>
      </c>
      <c r="C49" s="4" t="s">
        <v>18</v>
      </c>
      <c r="D49" s="6">
        <v>22</v>
      </c>
      <c r="E49" s="6">
        <v>662</v>
      </c>
      <c r="F49" s="7">
        <v>15.1</v>
      </c>
      <c r="G49" s="6">
        <v>10006</v>
      </c>
      <c r="H49" s="8">
        <v>1.9</v>
      </c>
      <c r="I49" s="8">
        <v>0.8</v>
      </c>
      <c r="J49" s="8">
        <v>1.1000000000000001</v>
      </c>
      <c r="K49" s="8">
        <v>0.11</v>
      </c>
      <c r="L49" s="8">
        <v>0.05</v>
      </c>
      <c r="M49" s="8">
        <v>7.0000000000000007E-2</v>
      </c>
      <c r="N49" s="7">
        <v>100.5</v>
      </c>
      <c r="O49" s="7">
        <v>97</v>
      </c>
    </row>
    <row r="50" spans="1:15" x14ac:dyDescent="0.2">
      <c r="A50" s="4" t="s">
        <v>69</v>
      </c>
      <c r="B50" s="5">
        <v>128750</v>
      </c>
      <c r="C50" s="4" t="s">
        <v>29</v>
      </c>
      <c r="D50" s="6">
        <v>29</v>
      </c>
      <c r="E50" s="6">
        <v>370</v>
      </c>
      <c r="F50" s="7">
        <v>18.600000000000001</v>
      </c>
      <c r="G50" s="6">
        <v>6903</v>
      </c>
      <c r="H50" s="8">
        <v>1.6</v>
      </c>
      <c r="I50" s="8">
        <v>1</v>
      </c>
      <c r="J50" s="8">
        <v>0.6</v>
      </c>
      <c r="K50" s="8">
        <v>0.17</v>
      </c>
      <c r="L50" s="8">
        <v>0.11</v>
      </c>
      <c r="M50" s="8">
        <v>0.06</v>
      </c>
      <c r="N50" s="7">
        <v>119</v>
      </c>
      <c r="O50" s="7">
        <v>97.5</v>
      </c>
    </row>
    <row r="51" spans="1:15" x14ac:dyDescent="0.2">
      <c r="A51" s="4" t="s">
        <v>70</v>
      </c>
      <c r="B51" s="5">
        <v>125000</v>
      </c>
      <c r="C51" s="4" t="s">
        <v>29</v>
      </c>
      <c r="D51" s="6">
        <v>38</v>
      </c>
      <c r="E51" s="6">
        <v>541</v>
      </c>
      <c r="F51" s="7">
        <v>9.1</v>
      </c>
      <c r="G51" s="6">
        <v>4920</v>
      </c>
      <c r="H51" s="8">
        <v>0.7</v>
      </c>
      <c r="I51" s="8">
        <v>0.1</v>
      </c>
      <c r="J51" s="8">
        <v>0.6</v>
      </c>
      <c r="K51" s="8">
        <v>0.05</v>
      </c>
      <c r="L51" s="8">
        <v>0.01</v>
      </c>
      <c r="M51" s="8">
        <v>0.04</v>
      </c>
      <c r="N51" s="7">
        <v>94.5</v>
      </c>
      <c r="O51" s="7">
        <v>101.4</v>
      </c>
    </row>
    <row r="52" spans="1:15" x14ac:dyDescent="0.2">
      <c r="A52" s="4" t="s">
        <v>71</v>
      </c>
      <c r="B52" s="5">
        <v>125000</v>
      </c>
      <c r="C52" s="4" t="s">
        <v>29</v>
      </c>
      <c r="D52" s="6">
        <v>43</v>
      </c>
      <c r="E52" s="6">
        <v>1027</v>
      </c>
      <c r="F52" s="7">
        <v>11.5</v>
      </c>
      <c r="G52" s="6">
        <v>11850</v>
      </c>
      <c r="H52" s="8">
        <v>2.1</v>
      </c>
      <c r="I52" s="8">
        <v>1.1000000000000001</v>
      </c>
      <c r="J52" s="8">
        <v>1</v>
      </c>
      <c r="K52" s="8">
        <v>0.08</v>
      </c>
      <c r="L52" s="8">
        <v>0.04</v>
      </c>
      <c r="M52" s="8">
        <v>0.04</v>
      </c>
      <c r="N52" s="7">
        <v>101.7</v>
      </c>
      <c r="O52" s="7">
        <v>102.7</v>
      </c>
    </row>
    <row r="53" spans="1:15" x14ac:dyDescent="0.2">
      <c r="A53" s="4" t="s">
        <v>72</v>
      </c>
      <c r="B53" s="5">
        <v>125000</v>
      </c>
      <c r="C53" s="4" t="s">
        <v>29</v>
      </c>
      <c r="D53" s="6">
        <v>44</v>
      </c>
      <c r="E53" s="6">
        <v>1227</v>
      </c>
      <c r="F53" s="7">
        <v>10</v>
      </c>
      <c r="G53" s="6">
        <v>12270</v>
      </c>
      <c r="H53" s="8">
        <v>3.2</v>
      </c>
      <c r="I53" s="8">
        <v>1.7</v>
      </c>
      <c r="J53" s="8">
        <v>1.5</v>
      </c>
      <c r="K53" s="8">
        <v>0.1</v>
      </c>
      <c r="L53" s="8">
        <v>0.06</v>
      </c>
      <c r="M53" s="8">
        <v>0.05</v>
      </c>
      <c r="N53" s="7">
        <v>112.2</v>
      </c>
      <c r="O53" s="7">
        <v>100.7</v>
      </c>
    </row>
    <row r="54" spans="1:15" x14ac:dyDescent="0.2">
      <c r="A54" s="4" t="s">
        <v>73</v>
      </c>
      <c r="B54" s="5">
        <v>125000</v>
      </c>
      <c r="C54" s="4" t="s">
        <v>35</v>
      </c>
      <c r="D54" s="6">
        <v>42</v>
      </c>
      <c r="E54" s="6">
        <v>711</v>
      </c>
      <c r="F54" s="7">
        <v>8</v>
      </c>
      <c r="G54" s="6">
        <v>5654</v>
      </c>
      <c r="H54" s="8">
        <v>0</v>
      </c>
      <c r="I54" s="8">
        <v>0.2</v>
      </c>
      <c r="J54" s="8">
        <v>-0.2</v>
      </c>
      <c r="K54" s="8">
        <v>0</v>
      </c>
      <c r="L54" s="8">
        <v>0.01</v>
      </c>
      <c r="M54" s="8">
        <v>-0.01</v>
      </c>
      <c r="N54" s="7">
        <v>94.3</v>
      </c>
      <c r="O54" s="7">
        <v>111.8</v>
      </c>
    </row>
    <row r="55" spans="1:15" x14ac:dyDescent="0.2">
      <c r="A55" s="4" t="s">
        <v>74</v>
      </c>
      <c r="B55" s="5">
        <v>118450</v>
      </c>
      <c r="C55" s="4" t="s">
        <v>29</v>
      </c>
      <c r="D55" s="6">
        <v>16</v>
      </c>
      <c r="E55" s="6">
        <v>228</v>
      </c>
      <c r="F55" s="7">
        <v>6.7</v>
      </c>
      <c r="G55" s="6">
        <v>1526</v>
      </c>
      <c r="H55" s="8">
        <v>0.5</v>
      </c>
      <c r="I55" s="8">
        <v>0.2</v>
      </c>
      <c r="J55" s="8">
        <v>0.3</v>
      </c>
      <c r="K55" s="8">
        <v>0.09</v>
      </c>
      <c r="L55" s="8">
        <v>0.04</v>
      </c>
      <c r="M55" s="8">
        <v>0.05</v>
      </c>
      <c r="N55" s="7">
        <v>104.4</v>
      </c>
      <c r="O55" s="7">
        <v>100</v>
      </c>
    </row>
    <row r="56" spans="1:15" x14ac:dyDescent="0.2">
      <c r="A56" s="4" t="s">
        <v>75</v>
      </c>
      <c r="B56" s="5">
        <v>116331</v>
      </c>
      <c r="C56" s="4" t="s">
        <v>29</v>
      </c>
      <c r="D56" s="6">
        <v>21</v>
      </c>
      <c r="E56" s="6">
        <v>213</v>
      </c>
      <c r="F56" s="7">
        <v>13.6</v>
      </c>
      <c r="G56" s="6">
        <v>2893</v>
      </c>
      <c r="H56" s="8">
        <v>0.4</v>
      </c>
      <c r="I56" s="8">
        <v>0.4</v>
      </c>
      <c r="J56" s="8">
        <v>0.1</v>
      </c>
      <c r="K56" s="8">
        <v>0.08</v>
      </c>
      <c r="L56" s="8">
        <v>7.0000000000000007E-2</v>
      </c>
      <c r="M56" s="8">
        <v>0.01</v>
      </c>
      <c r="N56" s="7">
        <v>107.5</v>
      </c>
      <c r="O56" s="7">
        <v>107.4</v>
      </c>
    </row>
    <row r="57" spans="1:15" x14ac:dyDescent="0.2">
      <c r="A57" s="4" t="s">
        <v>76</v>
      </c>
      <c r="B57" s="5">
        <v>116079</v>
      </c>
      <c r="C57" s="4" t="s">
        <v>54</v>
      </c>
      <c r="D57" s="6">
        <v>34</v>
      </c>
      <c r="E57" s="6">
        <v>623</v>
      </c>
      <c r="F57" s="7">
        <v>19.100000000000001</v>
      </c>
      <c r="G57" s="6">
        <v>11920</v>
      </c>
      <c r="H57" s="8">
        <v>2.8</v>
      </c>
      <c r="I57" s="8">
        <v>1.5</v>
      </c>
      <c r="J57" s="8">
        <v>1.3</v>
      </c>
      <c r="K57" s="8">
        <v>0.18</v>
      </c>
      <c r="L57" s="8">
        <v>0.1</v>
      </c>
      <c r="M57" s="8">
        <v>0.09</v>
      </c>
      <c r="N57" s="7">
        <v>124.8</v>
      </c>
      <c r="O57" s="7">
        <v>93.3</v>
      </c>
    </row>
    <row r="58" spans="1:15" x14ac:dyDescent="0.2">
      <c r="A58" s="4" t="s">
        <v>77</v>
      </c>
      <c r="B58" s="5">
        <v>110000</v>
      </c>
      <c r="C58" s="4" t="s">
        <v>29</v>
      </c>
      <c r="D58" s="6">
        <v>26</v>
      </c>
      <c r="E58" s="6">
        <v>474</v>
      </c>
      <c r="F58" s="7">
        <v>16.7</v>
      </c>
      <c r="G58" s="6">
        <v>7916</v>
      </c>
      <c r="H58" s="8">
        <v>1.7</v>
      </c>
      <c r="I58" s="8">
        <v>0.8</v>
      </c>
      <c r="J58" s="8">
        <v>0.8</v>
      </c>
      <c r="K58" s="8">
        <v>0.14000000000000001</v>
      </c>
      <c r="L58" s="8">
        <v>7.0000000000000007E-2</v>
      </c>
      <c r="M58" s="8">
        <v>7.0000000000000007E-2</v>
      </c>
      <c r="N58" s="7">
        <v>107.7</v>
      </c>
      <c r="O58" s="7">
        <v>96.2</v>
      </c>
    </row>
    <row r="59" spans="1:15" x14ac:dyDescent="0.2">
      <c r="A59" s="4" t="s">
        <v>78</v>
      </c>
      <c r="B59" s="5">
        <v>103831</v>
      </c>
      <c r="C59" s="4" t="s">
        <v>29</v>
      </c>
      <c r="D59" s="6">
        <v>44</v>
      </c>
      <c r="E59" s="6">
        <v>1292</v>
      </c>
      <c r="F59" s="7">
        <v>19</v>
      </c>
      <c r="G59" s="6">
        <v>24566</v>
      </c>
      <c r="H59" s="8">
        <v>6.1</v>
      </c>
      <c r="I59" s="8">
        <v>4.3</v>
      </c>
      <c r="J59" s="8">
        <v>1.8</v>
      </c>
      <c r="K59" s="8">
        <v>0.19</v>
      </c>
      <c r="L59" s="8">
        <v>0.13</v>
      </c>
      <c r="M59" s="8">
        <v>0.06</v>
      </c>
      <c r="N59" s="7">
        <v>117.1</v>
      </c>
      <c r="O59" s="7">
        <v>99.1</v>
      </c>
    </row>
    <row r="60" spans="1:15" x14ac:dyDescent="0.2">
      <c r="A60" s="4" t="s">
        <v>79</v>
      </c>
      <c r="B60" s="5">
        <v>103000</v>
      </c>
      <c r="C60" s="4" t="s">
        <v>29</v>
      </c>
      <c r="D60" s="6">
        <v>40</v>
      </c>
      <c r="E60" s="6">
        <v>514</v>
      </c>
      <c r="F60" s="7">
        <v>7</v>
      </c>
      <c r="G60" s="6">
        <v>3587</v>
      </c>
      <c r="H60" s="8">
        <v>0.7</v>
      </c>
      <c r="I60" s="8">
        <v>0</v>
      </c>
      <c r="J60" s="8">
        <v>0.7</v>
      </c>
      <c r="K60" s="8">
        <v>0.06</v>
      </c>
      <c r="L60" s="8">
        <v>0</v>
      </c>
      <c r="M60" s="8">
        <v>0.06</v>
      </c>
      <c r="N60" s="7">
        <v>91.8</v>
      </c>
      <c r="O60" s="7">
        <v>98.9</v>
      </c>
    </row>
    <row r="61" spans="1:15" x14ac:dyDescent="0.2">
      <c r="A61" s="4" t="s">
        <v>80</v>
      </c>
      <c r="B61" s="5">
        <v>100013</v>
      </c>
      <c r="C61" s="4" t="s">
        <v>18</v>
      </c>
      <c r="D61" s="6">
        <v>5</v>
      </c>
      <c r="E61" s="6">
        <v>82</v>
      </c>
      <c r="F61" s="7">
        <v>13.4</v>
      </c>
      <c r="G61" s="6">
        <v>1104</v>
      </c>
      <c r="H61" s="8">
        <v>0.2</v>
      </c>
      <c r="I61" s="8">
        <v>0.2</v>
      </c>
      <c r="J61" s="8">
        <v>0</v>
      </c>
      <c r="K61" s="8">
        <v>0.09</v>
      </c>
      <c r="L61" s="8">
        <v>0.1</v>
      </c>
      <c r="M61" s="8">
        <v>-0.01</v>
      </c>
      <c r="N61" s="7">
        <v>124.9</v>
      </c>
      <c r="O61" s="7">
        <v>111.3</v>
      </c>
    </row>
    <row r="62" spans="1:15" x14ac:dyDescent="0.2">
      <c r="A62" s="4" t="s">
        <v>81</v>
      </c>
      <c r="B62" s="5">
        <v>100000</v>
      </c>
      <c r="C62" s="4" t="s">
        <v>29</v>
      </c>
      <c r="D62" s="6">
        <v>43</v>
      </c>
      <c r="E62" s="6">
        <v>906</v>
      </c>
      <c r="F62" s="7">
        <v>17</v>
      </c>
      <c r="G62" s="6">
        <v>15421</v>
      </c>
      <c r="H62" s="8">
        <v>1.7</v>
      </c>
      <c r="I62" s="8">
        <v>1.2</v>
      </c>
      <c r="J62" s="8">
        <v>0.5</v>
      </c>
      <c r="K62" s="8">
        <v>7.0000000000000007E-2</v>
      </c>
      <c r="L62" s="8">
        <v>0.05</v>
      </c>
      <c r="M62" s="8">
        <v>0.02</v>
      </c>
      <c r="N62" s="7">
        <v>102.2</v>
      </c>
      <c r="O62" s="7">
        <v>105.7</v>
      </c>
    </row>
    <row r="63" spans="1:15" x14ac:dyDescent="0.2">
      <c r="A63" s="4" t="s">
        <v>82</v>
      </c>
      <c r="B63" s="5">
        <v>100000</v>
      </c>
      <c r="C63" s="4" t="s">
        <v>29</v>
      </c>
      <c r="D63" s="6">
        <v>38</v>
      </c>
      <c r="E63" s="6">
        <v>439</v>
      </c>
      <c r="F63" s="7">
        <v>8.6</v>
      </c>
      <c r="G63" s="6">
        <v>3777</v>
      </c>
      <c r="H63" s="8">
        <v>0.4</v>
      </c>
      <c r="I63" s="8">
        <v>0</v>
      </c>
      <c r="J63" s="8">
        <v>0.4</v>
      </c>
      <c r="K63" s="8">
        <v>0.03</v>
      </c>
      <c r="L63" s="8">
        <v>0</v>
      </c>
      <c r="M63" s="8">
        <v>0.03</v>
      </c>
      <c r="N63" s="7">
        <v>92.1</v>
      </c>
      <c r="O63" s="7">
        <v>103.6</v>
      </c>
    </row>
    <row r="64" spans="1:15" x14ac:dyDescent="0.2">
      <c r="A64" s="4" t="s">
        <v>83</v>
      </c>
      <c r="B64" s="5">
        <v>100000</v>
      </c>
      <c r="C64" s="4" t="s">
        <v>84</v>
      </c>
      <c r="D64" s="6">
        <v>19</v>
      </c>
      <c r="E64" s="6">
        <v>450</v>
      </c>
      <c r="F64" s="7">
        <v>15.7</v>
      </c>
      <c r="G64" s="6">
        <v>7037</v>
      </c>
      <c r="H64" s="8">
        <v>1.4</v>
      </c>
      <c r="I64" s="8">
        <v>0.9</v>
      </c>
      <c r="J64" s="8">
        <v>0.5</v>
      </c>
      <c r="K64" s="8">
        <v>0.13</v>
      </c>
      <c r="L64" s="8">
        <v>0.08</v>
      </c>
      <c r="M64" s="8">
        <v>0.05</v>
      </c>
      <c r="N64" s="7">
        <v>110.5</v>
      </c>
      <c r="O64" s="7">
        <v>101</v>
      </c>
    </row>
    <row r="65" spans="1:15" x14ac:dyDescent="0.2">
      <c r="A65" s="4" t="s">
        <v>85</v>
      </c>
      <c r="B65" s="5">
        <v>100000</v>
      </c>
      <c r="C65" s="4" t="s">
        <v>35</v>
      </c>
      <c r="D65" s="6">
        <v>30</v>
      </c>
      <c r="E65" s="6">
        <v>756</v>
      </c>
      <c r="F65" s="7">
        <v>12.7</v>
      </c>
      <c r="G65" s="6">
        <v>9586</v>
      </c>
      <c r="H65" s="8">
        <v>2.2999999999999998</v>
      </c>
      <c r="I65" s="8">
        <v>1.5</v>
      </c>
      <c r="J65" s="8">
        <v>0.8</v>
      </c>
      <c r="K65" s="8">
        <v>0.12</v>
      </c>
      <c r="L65" s="8">
        <v>0.08</v>
      </c>
      <c r="M65" s="8">
        <v>0.04</v>
      </c>
      <c r="N65" s="7">
        <v>117.6</v>
      </c>
      <c r="O65" s="7">
        <v>102</v>
      </c>
    </row>
    <row r="66" spans="1:15" x14ac:dyDescent="0.2">
      <c r="A66" s="4" t="s">
        <v>86</v>
      </c>
      <c r="B66" s="5">
        <v>96820</v>
      </c>
      <c r="C66" s="4" t="s">
        <v>29</v>
      </c>
      <c r="D66" s="6">
        <v>20</v>
      </c>
      <c r="E66" s="6">
        <v>226</v>
      </c>
      <c r="F66" s="7">
        <v>5.7</v>
      </c>
      <c r="G66" s="6">
        <v>1285</v>
      </c>
      <c r="H66" s="8">
        <v>0.2</v>
      </c>
      <c r="I66" s="8">
        <v>0.1</v>
      </c>
      <c r="J66" s="8">
        <v>0.2</v>
      </c>
      <c r="K66" s="8">
        <v>0.04</v>
      </c>
      <c r="L66" s="8">
        <v>0.01</v>
      </c>
      <c r="M66" s="8">
        <v>0.03</v>
      </c>
      <c r="N66" s="7">
        <v>95.5</v>
      </c>
      <c r="O66" s="7">
        <v>104.3</v>
      </c>
    </row>
    <row r="67" spans="1:15" x14ac:dyDescent="0.2">
      <c r="A67" s="4" t="s">
        <v>87</v>
      </c>
      <c r="B67" s="5">
        <v>96408</v>
      </c>
      <c r="C67" s="4" t="s">
        <v>29</v>
      </c>
      <c r="D67" s="6">
        <v>24</v>
      </c>
      <c r="E67" s="6">
        <v>227</v>
      </c>
      <c r="F67" s="7">
        <v>8.5</v>
      </c>
      <c r="G67" s="6">
        <v>1929</v>
      </c>
      <c r="H67" s="8">
        <v>0.4</v>
      </c>
      <c r="I67" s="8">
        <v>0.2</v>
      </c>
      <c r="J67" s="8">
        <v>0.2</v>
      </c>
      <c r="K67" s="8">
        <v>7.0000000000000007E-2</v>
      </c>
      <c r="L67" s="8">
        <v>0.03</v>
      </c>
      <c r="M67" s="8">
        <v>0.04</v>
      </c>
      <c r="N67" s="7">
        <v>103.1</v>
      </c>
      <c r="O67" s="7">
        <v>103</v>
      </c>
    </row>
    <row r="68" spans="1:15" x14ac:dyDescent="0.2">
      <c r="A68" s="4" t="s">
        <v>88</v>
      </c>
      <c r="B68" s="5">
        <v>95835</v>
      </c>
      <c r="C68" s="4" t="s">
        <v>29</v>
      </c>
      <c r="D68" s="6">
        <v>0</v>
      </c>
      <c r="E68" s="6">
        <v>0</v>
      </c>
      <c r="F68" s="7"/>
      <c r="G68" s="6"/>
      <c r="H68" s="8"/>
      <c r="I68" s="8">
        <v>0</v>
      </c>
      <c r="J68" s="8"/>
      <c r="K68" s="8"/>
      <c r="L68" s="8"/>
      <c r="M68" s="8"/>
      <c r="N68" s="7"/>
      <c r="O68" s="7"/>
    </row>
    <row r="69" spans="1:15" x14ac:dyDescent="0.2">
      <c r="A69" s="4" t="s">
        <v>89</v>
      </c>
      <c r="B69" s="5">
        <v>95000</v>
      </c>
      <c r="C69" s="4" t="s">
        <v>29</v>
      </c>
      <c r="D69" s="6">
        <v>44</v>
      </c>
      <c r="E69" s="6">
        <v>1081</v>
      </c>
      <c r="F69" s="7">
        <v>10.6</v>
      </c>
      <c r="G69" s="6">
        <v>11458</v>
      </c>
      <c r="H69" s="8">
        <v>1</v>
      </c>
      <c r="I69" s="8">
        <v>1.3</v>
      </c>
      <c r="J69" s="8">
        <v>-0.2</v>
      </c>
      <c r="K69" s="8">
        <v>0.04</v>
      </c>
      <c r="L69" s="8">
        <v>0.05</v>
      </c>
      <c r="M69" s="8">
        <v>-0.01</v>
      </c>
      <c r="N69" s="7">
        <v>103.1</v>
      </c>
      <c r="O69" s="7">
        <v>111.8</v>
      </c>
    </row>
    <row r="70" spans="1:15" x14ac:dyDescent="0.2">
      <c r="A70" s="4" t="s">
        <v>90</v>
      </c>
      <c r="B70" s="5">
        <v>93831</v>
      </c>
      <c r="C70" s="4" t="s">
        <v>54</v>
      </c>
      <c r="D70" s="6">
        <v>43</v>
      </c>
      <c r="E70" s="6">
        <v>1122</v>
      </c>
      <c r="F70" s="7">
        <v>9.8000000000000007</v>
      </c>
      <c r="G70" s="6">
        <v>11051</v>
      </c>
      <c r="H70" s="8">
        <v>1.1000000000000001</v>
      </c>
      <c r="I70" s="8">
        <v>0.5</v>
      </c>
      <c r="J70" s="8">
        <v>0.6</v>
      </c>
      <c r="K70" s="8">
        <v>0.04</v>
      </c>
      <c r="L70" s="8">
        <v>0.02</v>
      </c>
      <c r="M70" s="8">
        <v>0.02</v>
      </c>
      <c r="N70" s="7">
        <v>96.5</v>
      </c>
      <c r="O70" s="7">
        <v>106.1</v>
      </c>
    </row>
    <row r="71" spans="1:15" x14ac:dyDescent="0.2">
      <c r="A71" s="4" t="s">
        <v>91</v>
      </c>
      <c r="B71" s="5">
        <v>91981</v>
      </c>
      <c r="C71" s="4" t="s">
        <v>25</v>
      </c>
      <c r="D71" s="6">
        <v>38</v>
      </c>
      <c r="E71" s="6">
        <v>874</v>
      </c>
      <c r="F71" s="7">
        <v>18.5</v>
      </c>
      <c r="G71" s="6">
        <v>16164</v>
      </c>
      <c r="H71" s="8">
        <v>1.6</v>
      </c>
      <c r="I71" s="8">
        <v>0.2</v>
      </c>
      <c r="J71" s="8">
        <v>1.5</v>
      </c>
      <c r="K71" s="8">
        <v>7.0000000000000007E-2</v>
      </c>
      <c r="L71" s="8">
        <v>0.01</v>
      </c>
      <c r="M71" s="8">
        <v>7.0000000000000007E-2</v>
      </c>
      <c r="N71" s="7">
        <v>92.9</v>
      </c>
      <c r="O71" s="7">
        <v>96.8</v>
      </c>
    </row>
    <row r="72" spans="1:15" x14ac:dyDescent="0.2">
      <c r="A72" s="4" t="s">
        <v>92</v>
      </c>
      <c r="B72" s="5">
        <v>91981</v>
      </c>
      <c r="C72" s="4" t="s">
        <v>25</v>
      </c>
      <c r="D72" s="6">
        <v>45</v>
      </c>
      <c r="E72" s="6">
        <v>956</v>
      </c>
      <c r="F72" s="7">
        <v>13.2</v>
      </c>
      <c r="G72" s="6">
        <v>12601</v>
      </c>
      <c r="H72" s="8">
        <v>2.2999999999999998</v>
      </c>
      <c r="I72" s="8">
        <v>1.3</v>
      </c>
      <c r="J72" s="8">
        <v>0.9</v>
      </c>
      <c r="K72" s="8">
        <v>0.09</v>
      </c>
      <c r="L72" s="8">
        <v>0.06</v>
      </c>
      <c r="M72" s="8">
        <v>0.04</v>
      </c>
      <c r="N72" s="7">
        <v>105.6</v>
      </c>
      <c r="O72" s="7">
        <v>102.4</v>
      </c>
    </row>
    <row r="73" spans="1:15" x14ac:dyDescent="0.2">
      <c r="A73" s="4" t="s">
        <v>93</v>
      </c>
      <c r="B73" s="5">
        <v>91981</v>
      </c>
      <c r="C73" s="4" t="s">
        <v>25</v>
      </c>
      <c r="D73" s="6">
        <v>33</v>
      </c>
      <c r="E73" s="6">
        <v>1151</v>
      </c>
      <c r="F73" s="7">
        <v>18.2</v>
      </c>
      <c r="G73" s="6">
        <v>20907</v>
      </c>
      <c r="H73" s="8">
        <v>4.9000000000000004</v>
      </c>
      <c r="I73" s="8">
        <v>3.1</v>
      </c>
      <c r="J73" s="8">
        <v>1.8</v>
      </c>
      <c r="K73" s="8">
        <v>0.17</v>
      </c>
      <c r="L73" s="8">
        <v>0.11</v>
      </c>
      <c r="M73" s="8">
        <v>0.06</v>
      </c>
      <c r="N73" s="7">
        <v>111</v>
      </c>
      <c r="O73" s="7">
        <v>97.6</v>
      </c>
    </row>
    <row r="74" spans="1:15" x14ac:dyDescent="0.2">
      <c r="A74" s="4" t="s">
        <v>88</v>
      </c>
      <c r="B74" s="5">
        <v>90000</v>
      </c>
      <c r="C74" s="4" t="s">
        <v>29</v>
      </c>
      <c r="D74" s="6">
        <v>0</v>
      </c>
      <c r="E74" s="6">
        <v>0</v>
      </c>
      <c r="F74" s="7"/>
      <c r="G74" s="6"/>
      <c r="H74" s="8"/>
      <c r="I74" s="8">
        <v>0</v>
      </c>
      <c r="J74" s="8"/>
      <c r="K74" s="8"/>
      <c r="L74" s="8"/>
      <c r="M74" s="8"/>
      <c r="N74" s="7"/>
      <c r="O74" s="7"/>
    </row>
    <row r="75" spans="1:15" x14ac:dyDescent="0.2">
      <c r="A75" s="4" t="s">
        <v>94</v>
      </c>
      <c r="B75" s="5">
        <v>90000</v>
      </c>
      <c r="C75" s="4" t="s">
        <v>29</v>
      </c>
      <c r="D75" s="6">
        <v>31</v>
      </c>
      <c r="E75" s="6">
        <v>450</v>
      </c>
      <c r="F75" s="7">
        <v>6.6</v>
      </c>
      <c r="G75" s="6">
        <v>2960</v>
      </c>
      <c r="H75" s="8">
        <v>-0.1</v>
      </c>
      <c r="I75" s="8">
        <v>0</v>
      </c>
      <c r="J75" s="8">
        <v>-0.1</v>
      </c>
      <c r="K75" s="8">
        <v>-0.01</v>
      </c>
      <c r="L75" s="8">
        <v>0</v>
      </c>
      <c r="M75" s="8">
        <v>-0.01</v>
      </c>
      <c r="N75" s="7">
        <v>92.7</v>
      </c>
      <c r="O75" s="7">
        <v>112.6</v>
      </c>
    </row>
    <row r="76" spans="1:15" x14ac:dyDescent="0.2">
      <c r="A76" s="4" t="s">
        <v>95</v>
      </c>
      <c r="B76" s="5">
        <v>90000</v>
      </c>
      <c r="C76" s="4" t="s">
        <v>29</v>
      </c>
      <c r="D76" s="6">
        <v>30</v>
      </c>
      <c r="E76" s="6">
        <v>404</v>
      </c>
      <c r="F76" s="7">
        <v>5.9</v>
      </c>
      <c r="G76" s="6">
        <v>2365</v>
      </c>
      <c r="H76" s="8">
        <v>0.1</v>
      </c>
      <c r="I76" s="8">
        <v>-0.2</v>
      </c>
      <c r="J76" s="8">
        <v>0.3</v>
      </c>
      <c r="K76" s="8">
        <v>0.01</v>
      </c>
      <c r="L76" s="8">
        <v>-0.02</v>
      </c>
      <c r="M76" s="8">
        <v>0.03</v>
      </c>
      <c r="N76" s="7">
        <v>86.5</v>
      </c>
      <c r="O76" s="7">
        <v>103.8</v>
      </c>
    </row>
    <row r="77" spans="1:15" x14ac:dyDescent="0.2">
      <c r="A77" s="4" t="s">
        <v>96</v>
      </c>
      <c r="B77" s="5">
        <v>90000</v>
      </c>
      <c r="C77" s="4" t="s">
        <v>54</v>
      </c>
      <c r="D77" s="6">
        <v>39</v>
      </c>
      <c r="E77" s="6">
        <v>925</v>
      </c>
      <c r="F77" s="7">
        <v>12.8</v>
      </c>
      <c r="G77" s="6">
        <v>11845</v>
      </c>
      <c r="H77" s="8">
        <v>2.4</v>
      </c>
      <c r="I77" s="8">
        <v>1</v>
      </c>
      <c r="J77" s="8">
        <v>1.3</v>
      </c>
      <c r="K77" s="8">
        <v>0.1</v>
      </c>
      <c r="L77" s="8">
        <v>0.04</v>
      </c>
      <c r="M77" s="8">
        <v>0.06</v>
      </c>
      <c r="N77" s="7">
        <v>102.9</v>
      </c>
      <c r="O77" s="7">
        <v>98.5</v>
      </c>
    </row>
    <row r="78" spans="1:15" x14ac:dyDescent="0.2">
      <c r="A78" s="4" t="s">
        <v>97</v>
      </c>
      <c r="B78" s="5">
        <v>89000</v>
      </c>
      <c r="C78" s="4" t="s">
        <v>35</v>
      </c>
      <c r="D78" s="6">
        <v>44</v>
      </c>
      <c r="E78" s="6">
        <v>777</v>
      </c>
      <c r="F78" s="7">
        <v>11</v>
      </c>
      <c r="G78" s="6">
        <v>8551</v>
      </c>
      <c r="H78" s="8">
        <v>1.1000000000000001</v>
      </c>
      <c r="I78" s="8">
        <v>0.9</v>
      </c>
      <c r="J78" s="8">
        <v>0.3</v>
      </c>
      <c r="K78" s="8">
        <v>0.06</v>
      </c>
      <c r="L78" s="8">
        <v>0.04</v>
      </c>
      <c r="M78" s="8">
        <v>0.01</v>
      </c>
      <c r="N78" s="7">
        <v>101.2</v>
      </c>
      <c r="O78" s="7">
        <v>107.2</v>
      </c>
    </row>
    <row r="79" spans="1:15" x14ac:dyDescent="0.2">
      <c r="A79" s="4" t="s">
        <v>98</v>
      </c>
      <c r="B79" s="5">
        <v>88261</v>
      </c>
      <c r="C79" s="4" t="s">
        <v>25</v>
      </c>
      <c r="D79" s="6">
        <v>44</v>
      </c>
      <c r="E79" s="6">
        <v>1189</v>
      </c>
      <c r="F79" s="7">
        <v>10.4</v>
      </c>
      <c r="G79" s="6">
        <v>12374</v>
      </c>
      <c r="H79" s="8">
        <v>2.7</v>
      </c>
      <c r="I79" s="8">
        <v>1.4</v>
      </c>
      <c r="J79" s="8">
        <v>1.2</v>
      </c>
      <c r="K79" s="8">
        <v>0.09</v>
      </c>
      <c r="L79" s="8">
        <v>0.05</v>
      </c>
      <c r="M79" s="8">
        <v>0.04</v>
      </c>
      <c r="N79" s="7">
        <v>106.4</v>
      </c>
      <c r="O79" s="7">
        <v>101.7</v>
      </c>
    </row>
    <row r="80" spans="1:15" x14ac:dyDescent="0.2">
      <c r="A80" s="4" t="s">
        <v>99</v>
      </c>
      <c r="B80" s="5">
        <v>85000</v>
      </c>
      <c r="C80" s="4" t="s">
        <v>29</v>
      </c>
      <c r="D80" s="6">
        <v>1</v>
      </c>
      <c r="E80" s="6">
        <v>12</v>
      </c>
      <c r="F80" s="7">
        <v>1.1000000000000001</v>
      </c>
      <c r="G80" s="6">
        <v>13000</v>
      </c>
      <c r="H80" s="8">
        <v>0</v>
      </c>
      <c r="I80" s="8">
        <v>0</v>
      </c>
      <c r="J80" s="8">
        <v>0</v>
      </c>
      <c r="K80" s="8">
        <v>0.01</v>
      </c>
      <c r="L80" s="8">
        <v>-0.11</v>
      </c>
      <c r="M80" s="8">
        <v>0.12</v>
      </c>
      <c r="N80" s="7">
        <v>50.2</v>
      </c>
      <c r="O80" s="7">
        <v>86.5</v>
      </c>
    </row>
    <row r="81" spans="1:15" x14ac:dyDescent="0.2">
      <c r="A81" s="4" t="s">
        <v>100</v>
      </c>
      <c r="B81" s="5">
        <v>85000</v>
      </c>
      <c r="C81" s="4" t="s">
        <v>29</v>
      </c>
      <c r="D81" s="6">
        <v>27</v>
      </c>
      <c r="E81" s="6">
        <v>233</v>
      </c>
      <c r="F81" s="7">
        <v>7.4</v>
      </c>
      <c r="G81" s="6">
        <v>1721</v>
      </c>
      <c r="H81" s="8">
        <v>0.3</v>
      </c>
      <c r="I81" s="8">
        <v>0.1</v>
      </c>
      <c r="J81" s="8">
        <v>0.2</v>
      </c>
      <c r="K81" s="8">
        <v>0.06</v>
      </c>
      <c r="L81" s="8">
        <v>0.02</v>
      </c>
      <c r="M81" s="8">
        <v>0.04</v>
      </c>
      <c r="N81" s="7">
        <v>100.3</v>
      </c>
      <c r="O81" s="7">
        <v>102.9</v>
      </c>
    </row>
    <row r="82" spans="1:15" x14ac:dyDescent="0.2">
      <c r="A82" s="4" t="s">
        <v>101</v>
      </c>
      <c r="B82" s="5">
        <v>85000</v>
      </c>
      <c r="C82" s="4" t="s">
        <v>84</v>
      </c>
      <c r="D82" s="6">
        <v>34</v>
      </c>
      <c r="E82" s="6">
        <v>963</v>
      </c>
      <c r="F82" s="7">
        <v>11.4</v>
      </c>
      <c r="G82" s="6">
        <v>10962</v>
      </c>
      <c r="H82" s="8">
        <v>1.6</v>
      </c>
      <c r="I82" s="8">
        <v>1.3</v>
      </c>
      <c r="J82" s="8">
        <v>0.3</v>
      </c>
      <c r="K82" s="8">
        <v>7.0000000000000007E-2</v>
      </c>
      <c r="L82" s="8">
        <v>0.05</v>
      </c>
      <c r="M82" s="8">
        <v>0.01</v>
      </c>
      <c r="N82" s="7">
        <v>110.3</v>
      </c>
      <c r="O82" s="7">
        <v>107.8</v>
      </c>
    </row>
    <row r="83" spans="1:15" x14ac:dyDescent="0.2">
      <c r="A83" s="4" t="s">
        <v>102</v>
      </c>
      <c r="B83" s="5">
        <v>84543</v>
      </c>
      <c r="C83" s="4" t="s">
        <v>25</v>
      </c>
      <c r="D83" s="6">
        <v>35</v>
      </c>
      <c r="E83" s="6">
        <v>427</v>
      </c>
      <c r="F83" s="7">
        <v>10.5</v>
      </c>
      <c r="G83" s="6">
        <v>4487</v>
      </c>
      <c r="H83" s="8">
        <v>0.5</v>
      </c>
      <c r="I83" s="8">
        <v>0.1</v>
      </c>
      <c r="J83" s="8">
        <v>0.4</v>
      </c>
      <c r="K83" s="8">
        <v>0.05</v>
      </c>
      <c r="L83" s="8">
        <v>0.01</v>
      </c>
      <c r="M83" s="8">
        <v>0.03</v>
      </c>
      <c r="N83" s="7">
        <v>94.9</v>
      </c>
      <c r="O83" s="7">
        <v>103.3</v>
      </c>
    </row>
    <row r="84" spans="1:15" x14ac:dyDescent="0.2">
      <c r="A84" s="4" t="s">
        <v>103</v>
      </c>
      <c r="B84" s="5">
        <v>83371</v>
      </c>
      <c r="C84" s="4" t="s">
        <v>25</v>
      </c>
      <c r="D84" s="6">
        <v>26</v>
      </c>
      <c r="E84" s="6">
        <v>702</v>
      </c>
      <c r="F84" s="7">
        <v>17.2</v>
      </c>
      <c r="G84" s="6">
        <v>12107</v>
      </c>
      <c r="H84" s="8">
        <v>1.9</v>
      </c>
      <c r="I84" s="8">
        <v>1.9</v>
      </c>
      <c r="J84" s="8">
        <v>0</v>
      </c>
      <c r="K84" s="8">
        <v>0.11</v>
      </c>
      <c r="L84" s="8">
        <v>0.11</v>
      </c>
      <c r="M84" s="8">
        <v>0</v>
      </c>
      <c r="N84" s="7">
        <v>116.9</v>
      </c>
      <c r="O84" s="7">
        <v>110.1</v>
      </c>
    </row>
    <row r="85" spans="1:15" x14ac:dyDescent="0.2">
      <c r="A85" s="4" t="s">
        <v>104</v>
      </c>
      <c r="B85" s="5">
        <v>83371</v>
      </c>
      <c r="C85" s="4" t="s">
        <v>25</v>
      </c>
      <c r="D85" s="6">
        <v>44</v>
      </c>
      <c r="E85" s="6">
        <v>1327</v>
      </c>
      <c r="F85" s="7">
        <v>22.5</v>
      </c>
      <c r="G85" s="6">
        <v>29890</v>
      </c>
      <c r="H85" s="8">
        <v>6.7</v>
      </c>
      <c r="I85" s="8">
        <v>4.7</v>
      </c>
      <c r="J85" s="8">
        <v>2</v>
      </c>
      <c r="K85" s="8">
        <v>0.2</v>
      </c>
      <c r="L85" s="8">
        <v>0.14000000000000001</v>
      </c>
      <c r="M85" s="8">
        <v>0.06</v>
      </c>
      <c r="N85" s="7">
        <v>117.9</v>
      </c>
      <c r="O85" s="7">
        <v>98.1</v>
      </c>
    </row>
    <row r="86" spans="1:15" x14ac:dyDescent="0.2">
      <c r="A86" s="4" t="s">
        <v>105</v>
      </c>
      <c r="B86" s="5">
        <v>83371</v>
      </c>
      <c r="C86" s="4" t="s">
        <v>18</v>
      </c>
      <c r="D86" s="6">
        <v>40</v>
      </c>
      <c r="E86" s="6">
        <v>434</v>
      </c>
      <c r="F86" s="7">
        <v>8.5</v>
      </c>
      <c r="G86" s="6">
        <v>3694</v>
      </c>
      <c r="H86" s="8">
        <v>0.5</v>
      </c>
      <c r="I86" s="8">
        <v>0.1</v>
      </c>
      <c r="J86" s="8">
        <v>0.4</v>
      </c>
      <c r="K86" s="8">
        <v>0.04</v>
      </c>
      <c r="L86" s="8">
        <v>0.01</v>
      </c>
      <c r="M86" s="8">
        <v>0.03</v>
      </c>
      <c r="N86" s="7">
        <v>94.4</v>
      </c>
      <c r="O86" s="7">
        <v>103.5</v>
      </c>
    </row>
    <row r="87" spans="1:15" x14ac:dyDescent="0.2">
      <c r="A87" s="4" t="s">
        <v>106</v>
      </c>
      <c r="B87" s="5">
        <v>81079</v>
      </c>
      <c r="C87" s="4" t="s">
        <v>54</v>
      </c>
      <c r="D87" s="6">
        <v>40</v>
      </c>
      <c r="E87" s="6">
        <v>512</v>
      </c>
      <c r="F87" s="7">
        <v>14.5</v>
      </c>
      <c r="G87" s="6">
        <v>7442</v>
      </c>
      <c r="H87" s="8">
        <v>1.1000000000000001</v>
      </c>
      <c r="I87" s="8">
        <v>0.2</v>
      </c>
      <c r="J87" s="8">
        <v>0.9</v>
      </c>
      <c r="K87" s="8">
        <v>0.09</v>
      </c>
      <c r="L87" s="8">
        <v>0.02</v>
      </c>
      <c r="M87" s="8">
        <v>7.0000000000000007E-2</v>
      </c>
      <c r="N87" s="7">
        <v>96.3</v>
      </c>
      <c r="O87" s="7">
        <v>96.5</v>
      </c>
    </row>
    <row r="88" spans="1:15" x14ac:dyDescent="0.2">
      <c r="A88" s="4" t="s">
        <v>107</v>
      </c>
      <c r="B88" s="5">
        <v>80823</v>
      </c>
      <c r="C88" s="4" t="s">
        <v>25</v>
      </c>
      <c r="D88" s="6">
        <v>37</v>
      </c>
      <c r="E88" s="6">
        <v>800</v>
      </c>
      <c r="F88" s="7">
        <v>17</v>
      </c>
      <c r="G88" s="6">
        <v>13628</v>
      </c>
      <c r="H88" s="8">
        <v>2.1</v>
      </c>
      <c r="I88" s="8">
        <v>1.6</v>
      </c>
      <c r="J88" s="8">
        <v>0.5</v>
      </c>
      <c r="K88" s="8">
        <v>0.1</v>
      </c>
      <c r="L88" s="8">
        <v>0.08</v>
      </c>
      <c r="M88" s="8">
        <v>0.02</v>
      </c>
      <c r="N88" s="7">
        <v>111.4</v>
      </c>
      <c r="O88" s="7">
        <v>105.5</v>
      </c>
    </row>
    <row r="89" spans="1:15" x14ac:dyDescent="0.2">
      <c r="A89" s="4" t="s">
        <v>108</v>
      </c>
      <c r="B89" s="5">
        <v>80823</v>
      </c>
      <c r="C89" s="4" t="s">
        <v>25</v>
      </c>
      <c r="D89" s="6">
        <v>44</v>
      </c>
      <c r="E89" s="6">
        <v>1122</v>
      </c>
      <c r="F89" s="7">
        <v>15.7</v>
      </c>
      <c r="G89" s="6">
        <v>17612</v>
      </c>
      <c r="H89" s="8">
        <v>4.4000000000000004</v>
      </c>
      <c r="I89" s="8">
        <v>2.8</v>
      </c>
      <c r="J89" s="8">
        <v>1.6</v>
      </c>
      <c r="K89" s="8">
        <v>0.16</v>
      </c>
      <c r="L89" s="8">
        <v>0.1</v>
      </c>
      <c r="M89" s="8">
        <v>0.06</v>
      </c>
      <c r="N89" s="7">
        <v>117.8</v>
      </c>
      <c r="O89" s="7">
        <v>98.7</v>
      </c>
    </row>
    <row r="90" spans="1:15" x14ac:dyDescent="0.2">
      <c r="A90" s="4" t="s">
        <v>109</v>
      </c>
      <c r="B90" s="5">
        <v>80672</v>
      </c>
      <c r="C90" s="4" t="s">
        <v>29</v>
      </c>
      <c r="D90" s="6">
        <v>20</v>
      </c>
      <c r="E90" s="6">
        <v>163</v>
      </c>
      <c r="F90" s="7">
        <v>9.5</v>
      </c>
      <c r="G90" s="6">
        <v>1551</v>
      </c>
      <c r="H90" s="8">
        <v>0.2</v>
      </c>
      <c r="I90" s="8">
        <v>0.2</v>
      </c>
      <c r="J90" s="8">
        <v>0</v>
      </c>
      <c r="K90" s="8">
        <v>0.05</v>
      </c>
      <c r="L90" s="8">
        <v>0.04</v>
      </c>
      <c r="M90" s="8">
        <v>0</v>
      </c>
      <c r="N90" s="7">
        <v>107.2</v>
      </c>
      <c r="O90" s="7">
        <v>109.6</v>
      </c>
    </row>
    <row r="91" spans="1:15" x14ac:dyDescent="0.2">
      <c r="A91" s="4" t="s">
        <v>110</v>
      </c>
      <c r="B91" s="5">
        <v>80000</v>
      </c>
      <c r="C91" s="4" t="s">
        <v>29</v>
      </c>
      <c r="D91" s="6">
        <v>33</v>
      </c>
      <c r="E91" s="6">
        <v>626</v>
      </c>
      <c r="F91" s="7">
        <v>7.6</v>
      </c>
      <c r="G91" s="6">
        <v>4744</v>
      </c>
      <c r="H91" s="8">
        <v>0.8</v>
      </c>
      <c r="I91" s="8">
        <v>0.4</v>
      </c>
      <c r="J91" s="8">
        <v>0.4</v>
      </c>
      <c r="K91" s="8">
        <v>0.05</v>
      </c>
      <c r="L91" s="8">
        <v>0.03</v>
      </c>
      <c r="M91" s="8">
        <v>0.02</v>
      </c>
      <c r="N91" s="7">
        <v>99.3</v>
      </c>
      <c r="O91" s="7">
        <v>105.6</v>
      </c>
    </row>
    <row r="92" spans="1:15" x14ac:dyDescent="0.2">
      <c r="A92" s="4" t="s">
        <v>111</v>
      </c>
      <c r="B92" s="5">
        <v>79999</v>
      </c>
      <c r="C92" s="4" t="s">
        <v>25</v>
      </c>
      <c r="D92" s="6">
        <v>17</v>
      </c>
      <c r="E92" s="6">
        <v>305</v>
      </c>
      <c r="F92" s="7">
        <v>13.4</v>
      </c>
      <c r="G92" s="6">
        <v>4098</v>
      </c>
      <c r="H92" s="8">
        <v>0.8</v>
      </c>
      <c r="I92" s="8">
        <v>0.4</v>
      </c>
      <c r="J92" s="8">
        <v>0.4</v>
      </c>
      <c r="K92" s="8">
        <v>0.11</v>
      </c>
      <c r="L92" s="8">
        <v>0.05</v>
      </c>
      <c r="M92" s="8">
        <v>0.06</v>
      </c>
      <c r="N92" s="7">
        <v>104.3</v>
      </c>
      <c r="O92" s="7">
        <v>98.8</v>
      </c>
    </row>
    <row r="93" spans="1:15" x14ac:dyDescent="0.2">
      <c r="A93" s="4" t="s">
        <v>112</v>
      </c>
      <c r="B93" s="5">
        <v>78831</v>
      </c>
      <c r="C93" s="4" t="s">
        <v>29</v>
      </c>
      <c r="D93" s="6">
        <v>2</v>
      </c>
      <c r="E93" s="6">
        <v>14</v>
      </c>
      <c r="F93" s="7">
        <v>37.6</v>
      </c>
      <c r="G93" s="6">
        <v>524000</v>
      </c>
      <c r="H93" s="8">
        <v>0.1</v>
      </c>
      <c r="I93" s="8">
        <v>0.1</v>
      </c>
      <c r="J93" s="8">
        <v>0</v>
      </c>
      <c r="K93" s="8">
        <v>0.26</v>
      </c>
      <c r="L93" s="8">
        <v>0.27</v>
      </c>
      <c r="M93" s="8">
        <v>-0.01</v>
      </c>
      <c r="N93" s="7">
        <v>127.7</v>
      </c>
      <c r="O93" s="7">
        <v>111.5</v>
      </c>
    </row>
    <row r="94" spans="1:15" x14ac:dyDescent="0.2">
      <c r="A94" s="4" t="s">
        <v>113</v>
      </c>
      <c r="B94" s="5">
        <v>78831</v>
      </c>
      <c r="C94" s="4" t="s">
        <v>29</v>
      </c>
      <c r="D94" s="6">
        <v>38</v>
      </c>
      <c r="E94" s="6">
        <v>867</v>
      </c>
      <c r="F94" s="7">
        <v>10.7</v>
      </c>
      <c r="G94" s="6">
        <v>9253</v>
      </c>
      <c r="H94" s="8">
        <v>0.4</v>
      </c>
      <c r="I94" s="8">
        <v>0.6</v>
      </c>
      <c r="J94" s="8">
        <v>-0.1</v>
      </c>
      <c r="K94" s="8">
        <v>0.02</v>
      </c>
      <c r="L94" s="8">
        <v>0.03</v>
      </c>
      <c r="M94" s="8">
        <v>-0.01</v>
      </c>
      <c r="N94" s="7">
        <v>97</v>
      </c>
      <c r="O94" s="7">
        <v>111.2</v>
      </c>
    </row>
    <row r="95" spans="1:15" x14ac:dyDescent="0.2">
      <c r="A95" s="4" t="s">
        <v>114</v>
      </c>
      <c r="B95" s="5">
        <v>78831</v>
      </c>
      <c r="C95" s="4" t="s">
        <v>29</v>
      </c>
      <c r="D95" s="6">
        <v>34</v>
      </c>
      <c r="E95" s="6">
        <v>360</v>
      </c>
      <c r="F95" s="7">
        <v>17.3</v>
      </c>
      <c r="G95" s="6">
        <v>6240</v>
      </c>
      <c r="H95" s="8">
        <v>1.2</v>
      </c>
      <c r="I95" s="8">
        <v>0.7</v>
      </c>
      <c r="J95" s="8">
        <v>0.5</v>
      </c>
      <c r="K95" s="8">
        <v>0.13</v>
      </c>
      <c r="L95" s="8">
        <v>0.08</v>
      </c>
      <c r="M95" s="8">
        <v>0.06</v>
      </c>
      <c r="N95" s="7">
        <v>105.9</v>
      </c>
      <c r="O95" s="7">
        <v>98.5</v>
      </c>
    </row>
    <row r="96" spans="1:15" x14ac:dyDescent="0.2">
      <c r="A96" s="4" t="s">
        <v>115</v>
      </c>
      <c r="B96" s="5">
        <v>78831</v>
      </c>
      <c r="C96" s="4" t="s">
        <v>29</v>
      </c>
      <c r="D96" s="6">
        <v>36</v>
      </c>
      <c r="E96" s="6">
        <v>779</v>
      </c>
      <c r="F96" s="7">
        <v>13.9</v>
      </c>
      <c r="G96" s="6">
        <v>10868</v>
      </c>
      <c r="H96" s="8">
        <v>2.1</v>
      </c>
      <c r="I96" s="8">
        <v>1.4</v>
      </c>
      <c r="J96" s="8">
        <v>0.7</v>
      </c>
      <c r="K96" s="8">
        <v>0.11</v>
      </c>
      <c r="L96" s="8">
        <v>7.0000000000000007E-2</v>
      </c>
      <c r="M96" s="8">
        <v>0.04</v>
      </c>
      <c r="N96" s="7">
        <v>110.4</v>
      </c>
      <c r="O96" s="7">
        <v>103.1</v>
      </c>
    </row>
    <row r="97" spans="1:15" x14ac:dyDescent="0.2">
      <c r="A97" s="4" t="s">
        <v>116</v>
      </c>
      <c r="B97" s="5">
        <v>78831</v>
      </c>
      <c r="C97" s="4" t="s">
        <v>29</v>
      </c>
      <c r="D97" s="6">
        <v>44</v>
      </c>
      <c r="E97" s="6">
        <v>1126</v>
      </c>
      <c r="F97" s="7">
        <v>13.3</v>
      </c>
      <c r="G97" s="6">
        <v>15031</v>
      </c>
      <c r="H97" s="8">
        <v>2.2999999999999998</v>
      </c>
      <c r="I97" s="8">
        <v>1</v>
      </c>
      <c r="J97" s="8">
        <v>1.3</v>
      </c>
      <c r="K97" s="8">
        <v>0.08</v>
      </c>
      <c r="L97" s="8">
        <v>0.04</v>
      </c>
      <c r="M97" s="8">
        <v>0.05</v>
      </c>
      <c r="N97" s="7">
        <v>99.2</v>
      </c>
      <c r="O97" s="7">
        <v>100.9</v>
      </c>
    </row>
    <row r="98" spans="1:15" x14ac:dyDescent="0.2">
      <c r="A98" s="4" t="s">
        <v>117</v>
      </c>
      <c r="B98" s="5">
        <v>78831</v>
      </c>
      <c r="C98" s="4" t="s">
        <v>84</v>
      </c>
      <c r="D98" s="6">
        <v>40</v>
      </c>
      <c r="E98" s="6">
        <v>835</v>
      </c>
      <c r="F98" s="7">
        <v>20.9</v>
      </c>
      <c r="G98" s="6">
        <v>17469</v>
      </c>
      <c r="H98" s="8">
        <v>4.2</v>
      </c>
      <c r="I98" s="8">
        <v>2.8</v>
      </c>
      <c r="J98" s="8">
        <v>1.4</v>
      </c>
      <c r="K98" s="8">
        <v>0.2</v>
      </c>
      <c r="L98" s="8">
        <v>0.14000000000000001</v>
      </c>
      <c r="M98" s="8">
        <v>7.0000000000000007E-2</v>
      </c>
      <c r="N98" s="7">
        <v>121.6</v>
      </c>
      <c r="O98" s="7">
        <v>96.8</v>
      </c>
    </row>
    <row r="99" spans="1:15" x14ac:dyDescent="0.2">
      <c r="A99" s="4" t="s">
        <v>118</v>
      </c>
      <c r="B99" s="5">
        <v>78831</v>
      </c>
      <c r="C99" s="4" t="s">
        <v>25</v>
      </c>
      <c r="D99" s="6">
        <v>42</v>
      </c>
      <c r="E99" s="6">
        <v>600</v>
      </c>
      <c r="F99" s="7">
        <v>20.100000000000001</v>
      </c>
      <c r="G99" s="6">
        <v>12082</v>
      </c>
      <c r="H99" s="8">
        <v>2</v>
      </c>
      <c r="I99" s="8">
        <v>0.9</v>
      </c>
      <c r="J99" s="8">
        <v>1.1000000000000001</v>
      </c>
      <c r="K99" s="8">
        <v>0.13</v>
      </c>
      <c r="L99" s="8">
        <v>0.06</v>
      </c>
      <c r="M99" s="8">
        <v>7.0000000000000007E-2</v>
      </c>
      <c r="N99" s="7">
        <v>102</v>
      </c>
      <c r="O99" s="7">
        <v>96.2</v>
      </c>
    </row>
    <row r="100" spans="1:15" x14ac:dyDescent="0.2">
      <c r="A100" s="4" t="s">
        <v>119</v>
      </c>
      <c r="B100" s="5">
        <v>78831</v>
      </c>
      <c r="C100" s="4" t="s">
        <v>25</v>
      </c>
      <c r="D100" s="6">
        <v>44</v>
      </c>
      <c r="E100" s="6">
        <v>1185</v>
      </c>
      <c r="F100" s="7">
        <v>17.3</v>
      </c>
      <c r="G100" s="6">
        <v>20530</v>
      </c>
      <c r="H100" s="8">
        <v>3.3</v>
      </c>
      <c r="I100" s="8">
        <v>2.1</v>
      </c>
      <c r="J100" s="8">
        <v>1.2</v>
      </c>
      <c r="K100" s="8">
        <v>0.11</v>
      </c>
      <c r="L100" s="8">
        <v>7.0000000000000007E-2</v>
      </c>
      <c r="M100" s="8">
        <v>0.04</v>
      </c>
      <c r="N100" s="7">
        <v>103.8</v>
      </c>
      <c r="O100" s="7">
        <v>101.9</v>
      </c>
    </row>
    <row r="101" spans="1:15" x14ac:dyDescent="0.2">
      <c r="A101" s="4" t="s">
        <v>120</v>
      </c>
      <c r="B101" s="5">
        <v>78831</v>
      </c>
      <c r="C101" s="4" t="s">
        <v>25</v>
      </c>
      <c r="D101" s="6">
        <v>44</v>
      </c>
      <c r="E101" s="6">
        <v>1415</v>
      </c>
      <c r="F101" s="7">
        <v>16.399999999999999</v>
      </c>
      <c r="G101" s="6">
        <v>23171</v>
      </c>
      <c r="H101" s="8">
        <v>4.3</v>
      </c>
      <c r="I101" s="8">
        <v>3</v>
      </c>
      <c r="J101" s="8">
        <v>1.2</v>
      </c>
      <c r="K101" s="8">
        <v>0.12</v>
      </c>
      <c r="L101" s="8">
        <v>0.09</v>
      </c>
      <c r="M101" s="8">
        <v>0.03</v>
      </c>
      <c r="N101" s="7">
        <v>110</v>
      </c>
      <c r="O101" s="7">
        <v>103.3</v>
      </c>
    </row>
    <row r="102" spans="1:15" x14ac:dyDescent="0.2">
      <c r="A102" s="4" t="s">
        <v>121</v>
      </c>
      <c r="B102" s="5">
        <v>78831</v>
      </c>
      <c r="C102" s="4" t="s">
        <v>25</v>
      </c>
      <c r="D102" s="6">
        <v>36</v>
      </c>
      <c r="E102" s="6">
        <v>1199</v>
      </c>
      <c r="F102" s="7">
        <v>21.9</v>
      </c>
      <c r="G102" s="6">
        <v>26269</v>
      </c>
      <c r="H102" s="8">
        <v>4.5</v>
      </c>
      <c r="I102" s="8">
        <v>4.0999999999999996</v>
      </c>
      <c r="J102" s="8">
        <v>0.3</v>
      </c>
      <c r="K102" s="8">
        <v>0.15</v>
      </c>
      <c r="L102" s="8">
        <v>0.14000000000000001</v>
      </c>
      <c r="M102" s="8">
        <v>0.01</v>
      </c>
      <c r="N102" s="7">
        <v>115.5</v>
      </c>
      <c r="O102" s="7">
        <v>107.8</v>
      </c>
    </row>
    <row r="103" spans="1:15" x14ac:dyDescent="0.2">
      <c r="A103" s="4" t="s">
        <v>122</v>
      </c>
      <c r="B103" s="5">
        <v>78066</v>
      </c>
      <c r="C103" s="4" t="s">
        <v>25</v>
      </c>
      <c r="D103" s="6">
        <v>19</v>
      </c>
      <c r="E103" s="6">
        <v>244</v>
      </c>
      <c r="F103" s="7">
        <v>15.2</v>
      </c>
      <c r="G103" s="6">
        <v>3705</v>
      </c>
      <c r="H103" s="8">
        <v>0.4</v>
      </c>
      <c r="I103" s="8">
        <v>0.1</v>
      </c>
      <c r="J103" s="8">
        <v>0.3</v>
      </c>
      <c r="K103" s="8">
        <v>7.0000000000000007E-2</v>
      </c>
      <c r="L103" s="8">
        <v>0.01</v>
      </c>
      <c r="M103" s="8">
        <v>0.06</v>
      </c>
      <c r="N103" s="7">
        <v>94.1</v>
      </c>
      <c r="O103" s="7">
        <v>98.9</v>
      </c>
    </row>
    <row r="104" spans="1:15" x14ac:dyDescent="0.2">
      <c r="A104" s="4" t="s">
        <v>123</v>
      </c>
      <c r="B104" s="5">
        <v>78066</v>
      </c>
      <c r="C104" s="4" t="s">
        <v>25</v>
      </c>
      <c r="D104" s="6">
        <v>38</v>
      </c>
      <c r="E104" s="6">
        <v>1173</v>
      </c>
      <c r="F104" s="7">
        <v>12.5</v>
      </c>
      <c r="G104" s="6">
        <v>14675</v>
      </c>
      <c r="H104" s="8">
        <v>0.9</v>
      </c>
      <c r="I104" s="8">
        <v>1.2</v>
      </c>
      <c r="J104" s="8">
        <v>-0.3</v>
      </c>
      <c r="K104" s="8">
        <v>0.03</v>
      </c>
      <c r="L104" s="8">
        <v>0.04</v>
      </c>
      <c r="M104" s="8">
        <v>-0.01</v>
      </c>
      <c r="N104" s="7">
        <v>99.6</v>
      </c>
      <c r="O104" s="7">
        <v>112</v>
      </c>
    </row>
    <row r="105" spans="1:15" x14ac:dyDescent="0.2">
      <c r="A105" s="4" t="s">
        <v>124</v>
      </c>
      <c r="B105" s="5">
        <v>78066</v>
      </c>
      <c r="C105" s="4" t="s">
        <v>25</v>
      </c>
      <c r="D105" s="6">
        <v>40</v>
      </c>
      <c r="E105" s="6">
        <v>1102</v>
      </c>
      <c r="F105" s="7">
        <v>19.600000000000001</v>
      </c>
      <c r="G105" s="6">
        <v>21647</v>
      </c>
      <c r="H105" s="8">
        <v>2.8</v>
      </c>
      <c r="I105" s="8">
        <v>2.4</v>
      </c>
      <c r="J105" s="8">
        <v>0.4</v>
      </c>
      <c r="K105" s="8">
        <v>0.1</v>
      </c>
      <c r="L105" s="8">
        <v>0.09</v>
      </c>
      <c r="M105" s="8">
        <v>0.01</v>
      </c>
      <c r="N105" s="7">
        <v>107</v>
      </c>
      <c r="O105" s="7">
        <v>107.2</v>
      </c>
    </row>
    <row r="106" spans="1:15" x14ac:dyDescent="0.2">
      <c r="A106" s="4" t="s">
        <v>125</v>
      </c>
      <c r="B106" s="5">
        <v>78066</v>
      </c>
      <c r="C106" s="4" t="s">
        <v>18</v>
      </c>
      <c r="D106" s="6">
        <v>13</v>
      </c>
      <c r="E106" s="6">
        <v>404</v>
      </c>
      <c r="F106" s="7">
        <v>16.600000000000001</v>
      </c>
      <c r="G106" s="6">
        <v>6710</v>
      </c>
      <c r="H106" s="8">
        <v>0.8</v>
      </c>
      <c r="I106" s="8">
        <v>0.2</v>
      </c>
      <c r="J106" s="8">
        <v>0.6</v>
      </c>
      <c r="K106" s="8">
        <v>0.08</v>
      </c>
      <c r="L106" s="8">
        <v>0.02</v>
      </c>
      <c r="M106" s="8">
        <v>0.06</v>
      </c>
      <c r="N106" s="7">
        <v>94.3</v>
      </c>
      <c r="O106" s="7">
        <v>98.6</v>
      </c>
    </row>
    <row r="107" spans="1:15" x14ac:dyDescent="0.2">
      <c r="A107" s="4" t="s">
        <v>126</v>
      </c>
      <c r="B107" s="5">
        <v>75694</v>
      </c>
      <c r="C107" s="4" t="s">
        <v>29</v>
      </c>
      <c r="D107" s="6">
        <v>17</v>
      </c>
      <c r="E107" s="6">
        <v>440</v>
      </c>
      <c r="F107" s="7">
        <v>23.6</v>
      </c>
      <c r="G107" s="6">
        <v>10358</v>
      </c>
      <c r="H107" s="8">
        <v>2</v>
      </c>
      <c r="I107" s="8">
        <v>1.4</v>
      </c>
      <c r="J107" s="8">
        <v>0.6</v>
      </c>
      <c r="K107" s="8">
        <v>0.18</v>
      </c>
      <c r="L107" s="8">
        <v>0.13</v>
      </c>
      <c r="M107" s="8">
        <v>0.05</v>
      </c>
      <c r="N107" s="7">
        <v>115.1</v>
      </c>
      <c r="O107" s="7">
        <v>99.9</v>
      </c>
    </row>
    <row r="108" spans="1:15" x14ac:dyDescent="0.2">
      <c r="A108" s="4" t="s">
        <v>127</v>
      </c>
      <c r="B108" s="5">
        <v>75643</v>
      </c>
      <c r="C108" s="4" t="s">
        <v>25</v>
      </c>
      <c r="D108" s="6">
        <v>0</v>
      </c>
      <c r="E108" s="6">
        <v>0</v>
      </c>
      <c r="F108" s="7"/>
      <c r="G108" s="6"/>
      <c r="H108" s="8"/>
      <c r="I108" s="8">
        <v>0</v>
      </c>
      <c r="J108" s="8"/>
      <c r="K108" s="8"/>
      <c r="L108" s="8"/>
      <c r="M108" s="8"/>
      <c r="N108" s="7"/>
      <c r="O108" s="7"/>
    </row>
    <row r="109" spans="1:15" x14ac:dyDescent="0.2">
      <c r="A109" s="4" t="s">
        <v>128</v>
      </c>
      <c r="B109" s="5">
        <v>75643</v>
      </c>
      <c r="C109" s="4" t="s">
        <v>25</v>
      </c>
      <c r="D109" s="6">
        <v>41</v>
      </c>
      <c r="E109" s="6">
        <v>775</v>
      </c>
      <c r="F109" s="7">
        <v>14.9</v>
      </c>
      <c r="G109" s="6">
        <v>11528</v>
      </c>
      <c r="H109" s="8">
        <v>1</v>
      </c>
      <c r="I109" s="8">
        <v>0.3</v>
      </c>
      <c r="J109" s="8">
        <v>0.7</v>
      </c>
      <c r="K109" s="8">
        <v>0.05</v>
      </c>
      <c r="L109" s="8">
        <v>0.02</v>
      </c>
      <c r="M109" s="8">
        <v>0.04</v>
      </c>
      <c r="N109" s="7">
        <v>94.9</v>
      </c>
      <c r="O109" s="7">
        <v>103</v>
      </c>
    </row>
    <row r="110" spans="1:15" x14ac:dyDescent="0.2">
      <c r="A110" s="4" t="s">
        <v>129</v>
      </c>
      <c r="B110" s="5">
        <v>75643</v>
      </c>
      <c r="C110" s="4" t="s">
        <v>25</v>
      </c>
      <c r="D110" s="6">
        <v>42</v>
      </c>
      <c r="E110" s="6">
        <v>1097</v>
      </c>
      <c r="F110" s="7">
        <v>13.6</v>
      </c>
      <c r="G110" s="6">
        <v>14902</v>
      </c>
      <c r="H110" s="8">
        <v>1.2</v>
      </c>
      <c r="I110" s="8">
        <v>0.7</v>
      </c>
      <c r="J110" s="8">
        <v>0.5</v>
      </c>
      <c r="K110" s="8">
        <v>0.04</v>
      </c>
      <c r="L110" s="8">
        <v>0.02</v>
      </c>
      <c r="M110" s="8">
        <v>0.02</v>
      </c>
      <c r="N110" s="7">
        <v>97.6</v>
      </c>
      <c r="O110" s="7">
        <v>106.6</v>
      </c>
    </row>
    <row r="111" spans="1:15" x14ac:dyDescent="0.2">
      <c r="A111" s="4" t="s">
        <v>130</v>
      </c>
      <c r="B111" s="5">
        <v>74909</v>
      </c>
      <c r="C111" s="4" t="s">
        <v>25</v>
      </c>
      <c r="D111" s="6">
        <v>36</v>
      </c>
      <c r="E111" s="6">
        <v>534</v>
      </c>
      <c r="F111" s="7">
        <v>13</v>
      </c>
      <c r="G111" s="6">
        <v>6951</v>
      </c>
      <c r="H111" s="8">
        <v>0.9</v>
      </c>
      <c r="I111" s="8">
        <v>0.2</v>
      </c>
      <c r="J111" s="8">
        <v>0.7</v>
      </c>
      <c r="K111" s="8">
        <v>7.0000000000000007E-2</v>
      </c>
      <c r="L111" s="8">
        <v>0.02</v>
      </c>
      <c r="M111" s="8">
        <v>0.05</v>
      </c>
      <c r="N111" s="7">
        <v>95.7</v>
      </c>
      <c r="O111" s="7">
        <v>100.4</v>
      </c>
    </row>
    <row r="112" spans="1:15" x14ac:dyDescent="0.2">
      <c r="A112" s="4" t="s">
        <v>131</v>
      </c>
      <c r="B112" s="5">
        <v>74909</v>
      </c>
      <c r="C112" s="4" t="s">
        <v>25</v>
      </c>
      <c r="D112" s="6">
        <v>30</v>
      </c>
      <c r="E112" s="6">
        <v>708</v>
      </c>
      <c r="F112" s="7">
        <v>11.8</v>
      </c>
      <c r="G112" s="6">
        <v>8376</v>
      </c>
      <c r="H112" s="8">
        <v>1</v>
      </c>
      <c r="I112" s="8">
        <v>1.1000000000000001</v>
      </c>
      <c r="J112" s="8">
        <v>-0.1</v>
      </c>
      <c r="K112" s="8">
        <v>0.06</v>
      </c>
      <c r="L112" s="8">
        <v>0.06</v>
      </c>
      <c r="M112" s="8">
        <v>0</v>
      </c>
      <c r="N112" s="7">
        <v>110.2</v>
      </c>
      <c r="O112" s="7">
        <v>110.9</v>
      </c>
    </row>
    <row r="113" spans="1:15" x14ac:dyDescent="0.2">
      <c r="A113" s="4" t="s">
        <v>132</v>
      </c>
      <c r="B113" s="5">
        <v>74909</v>
      </c>
      <c r="C113" s="4" t="s">
        <v>25</v>
      </c>
      <c r="D113" s="6">
        <v>30</v>
      </c>
      <c r="E113" s="6">
        <v>947</v>
      </c>
      <c r="F113" s="7">
        <v>19.600000000000001</v>
      </c>
      <c r="G113" s="6">
        <v>18533</v>
      </c>
      <c r="H113" s="8">
        <v>2.2999999999999998</v>
      </c>
      <c r="I113" s="8">
        <v>1.3</v>
      </c>
      <c r="J113" s="8">
        <v>1</v>
      </c>
      <c r="K113" s="8">
        <v>0.1</v>
      </c>
      <c r="L113" s="8">
        <v>0.06</v>
      </c>
      <c r="M113" s="8">
        <v>0.04</v>
      </c>
      <c r="N113" s="7">
        <v>100.6</v>
      </c>
      <c r="O113" s="7">
        <v>101.9</v>
      </c>
    </row>
    <row r="114" spans="1:15" x14ac:dyDescent="0.2">
      <c r="A114" s="4" t="s">
        <v>133</v>
      </c>
      <c r="B114" s="5">
        <v>72455</v>
      </c>
      <c r="C114" s="4" t="s">
        <v>25</v>
      </c>
      <c r="D114" s="6">
        <v>29</v>
      </c>
      <c r="E114" s="6">
        <v>361</v>
      </c>
      <c r="F114" s="7">
        <v>5.8</v>
      </c>
      <c r="G114" s="6">
        <v>2085</v>
      </c>
      <c r="H114" s="8">
        <v>-0.5</v>
      </c>
      <c r="I114" s="8">
        <v>-0.5</v>
      </c>
      <c r="J114" s="8">
        <v>0</v>
      </c>
      <c r="K114" s="8">
        <v>-0.06</v>
      </c>
      <c r="L114" s="8">
        <v>-0.06</v>
      </c>
      <c r="M114" s="8">
        <v>0</v>
      </c>
      <c r="N114" s="7">
        <v>80.3</v>
      </c>
      <c r="O114" s="7">
        <v>110.4</v>
      </c>
    </row>
    <row r="115" spans="1:15" x14ac:dyDescent="0.2">
      <c r="A115" s="4" t="s">
        <v>134</v>
      </c>
      <c r="B115" s="5">
        <v>72455</v>
      </c>
      <c r="C115" s="4" t="s">
        <v>25</v>
      </c>
      <c r="D115" s="6">
        <v>34</v>
      </c>
      <c r="E115" s="6">
        <v>481</v>
      </c>
      <c r="F115" s="7">
        <v>4.2</v>
      </c>
      <c r="G115" s="6">
        <v>2019</v>
      </c>
      <c r="H115" s="8">
        <v>-0.5</v>
      </c>
      <c r="I115" s="8">
        <v>-0.4</v>
      </c>
      <c r="J115" s="8">
        <v>0</v>
      </c>
      <c r="K115" s="8">
        <v>-0.04</v>
      </c>
      <c r="L115" s="8">
        <v>-0.04</v>
      </c>
      <c r="M115" s="8">
        <v>0</v>
      </c>
      <c r="N115" s="7">
        <v>81.400000000000006</v>
      </c>
      <c r="O115" s="7">
        <v>110.3</v>
      </c>
    </row>
    <row r="116" spans="1:15" x14ac:dyDescent="0.2">
      <c r="A116" s="4" t="s">
        <v>135</v>
      </c>
      <c r="B116" s="5">
        <v>72455</v>
      </c>
      <c r="C116" s="4" t="s">
        <v>25</v>
      </c>
      <c r="D116" s="6">
        <v>38</v>
      </c>
      <c r="E116" s="6">
        <v>673</v>
      </c>
      <c r="F116" s="7">
        <v>12.5</v>
      </c>
      <c r="G116" s="6">
        <v>8402</v>
      </c>
      <c r="H116" s="8">
        <v>0.5</v>
      </c>
      <c r="I116" s="8">
        <v>0.4</v>
      </c>
      <c r="J116" s="8">
        <v>0.1</v>
      </c>
      <c r="K116" s="8">
        <v>0.03</v>
      </c>
      <c r="L116" s="8">
        <v>0.02</v>
      </c>
      <c r="M116" s="8">
        <v>0.01</v>
      </c>
      <c r="N116" s="7">
        <v>96.5</v>
      </c>
      <c r="O116" s="7">
        <v>109</v>
      </c>
    </row>
    <row r="117" spans="1:15" x14ac:dyDescent="0.2">
      <c r="A117" s="4" t="s">
        <v>136</v>
      </c>
      <c r="B117" s="5">
        <v>72455</v>
      </c>
      <c r="C117" s="4" t="s">
        <v>18</v>
      </c>
      <c r="D117" s="6">
        <v>37</v>
      </c>
      <c r="E117" s="6">
        <v>637</v>
      </c>
      <c r="F117" s="7">
        <v>11.6</v>
      </c>
      <c r="G117" s="6">
        <v>7394</v>
      </c>
      <c r="H117" s="8">
        <v>1.1000000000000001</v>
      </c>
      <c r="I117" s="8">
        <v>0.5</v>
      </c>
      <c r="J117" s="8">
        <v>0.7</v>
      </c>
      <c r="K117" s="8">
        <v>7.0000000000000007E-2</v>
      </c>
      <c r="L117" s="8">
        <v>0.03</v>
      </c>
      <c r="M117" s="8">
        <v>0.04</v>
      </c>
      <c r="N117" s="7">
        <v>96.9</v>
      </c>
      <c r="O117" s="7">
        <v>101.6</v>
      </c>
    </row>
    <row r="118" spans="1:15" x14ac:dyDescent="0.2">
      <c r="A118" s="4" t="s">
        <v>137</v>
      </c>
      <c r="B118" s="5">
        <v>72455</v>
      </c>
      <c r="C118" s="4" t="s">
        <v>18</v>
      </c>
      <c r="D118" s="6">
        <v>25</v>
      </c>
      <c r="E118" s="6">
        <v>665</v>
      </c>
      <c r="F118" s="7">
        <v>15.8</v>
      </c>
      <c r="G118" s="6">
        <v>10504</v>
      </c>
      <c r="H118" s="8">
        <v>1.6</v>
      </c>
      <c r="I118" s="8">
        <v>1</v>
      </c>
      <c r="J118" s="8">
        <v>0.6</v>
      </c>
      <c r="K118" s="8">
        <v>0.1</v>
      </c>
      <c r="L118" s="8">
        <v>0.06</v>
      </c>
      <c r="M118" s="8">
        <v>0.03</v>
      </c>
      <c r="N118" s="7">
        <v>105.2</v>
      </c>
      <c r="O118" s="7">
        <v>103.3</v>
      </c>
    </row>
    <row r="119" spans="1:15" x14ac:dyDescent="0.2">
      <c r="A119" s="4" t="s">
        <v>138</v>
      </c>
      <c r="B119" s="5">
        <v>72269</v>
      </c>
      <c r="C119" s="4" t="s">
        <v>29</v>
      </c>
      <c r="D119" s="6">
        <v>33</v>
      </c>
      <c r="E119" s="6">
        <v>778</v>
      </c>
      <c r="F119" s="7">
        <v>15.2</v>
      </c>
      <c r="G119" s="6">
        <v>11865</v>
      </c>
      <c r="H119" s="8">
        <v>2.6</v>
      </c>
      <c r="I119" s="8">
        <v>1.6</v>
      </c>
      <c r="J119" s="8">
        <v>1</v>
      </c>
      <c r="K119" s="8">
        <v>0.13</v>
      </c>
      <c r="L119" s="8">
        <v>0.08</v>
      </c>
      <c r="M119" s="8">
        <v>0.05</v>
      </c>
      <c r="N119" s="7">
        <v>111.1</v>
      </c>
      <c r="O119" s="7">
        <v>100.2</v>
      </c>
    </row>
    <row r="120" spans="1:15" x14ac:dyDescent="0.2">
      <c r="A120" s="4" t="s">
        <v>139</v>
      </c>
      <c r="B120" s="5">
        <v>69267</v>
      </c>
      <c r="C120" s="4" t="s">
        <v>25</v>
      </c>
      <c r="D120" s="6">
        <v>16</v>
      </c>
      <c r="E120" s="6">
        <v>77</v>
      </c>
      <c r="F120" s="7">
        <v>0.6</v>
      </c>
      <c r="G120" s="6">
        <v>48000</v>
      </c>
      <c r="H120" s="8">
        <v>-0.2</v>
      </c>
      <c r="I120" s="8">
        <v>-0.2</v>
      </c>
      <c r="J120" s="8">
        <v>0</v>
      </c>
      <c r="K120" s="8">
        <v>-0.13</v>
      </c>
      <c r="L120" s="8">
        <v>-0.13</v>
      </c>
      <c r="M120" s="8">
        <v>0</v>
      </c>
      <c r="N120" s="7">
        <v>65.900000000000006</v>
      </c>
      <c r="O120" s="7">
        <v>109.2</v>
      </c>
    </row>
    <row r="121" spans="1:15" x14ac:dyDescent="0.2">
      <c r="A121" s="4" t="s">
        <v>140</v>
      </c>
      <c r="B121" s="5">
        <v>69267</v>
      </c>
      <c r="C121" s="4" t="s">
        <v>25</v>
      </c>
      <c r="D121" s="6">
        <v>15</v>
      </c>
      <c r="E121" s="6">
        <v>90</v>
      </c>
      <c r="F121" s="7">
        <v>7.2</v>
      </c>
      <c r="G121" s="6">
        <v>649000</v>
      </c>
      <c r="H121" s="8">
        <v>-0.1</v>
      </c>
      <c r="I121" s="8">
        <v>-0.1</v>
      </c>
      <c r="J121" s="8">
        <v>0</v>
      </c>
      <c r="K121" s="8">
        <v>-0.04</v>
      </c>
      <c r="L121" s="8">
        <v>-0.06</v>
      </c>
      <c r="M121" s="8">
        <v>0.02</v>
      </c>
      <c r="N121" s="7">
        <v>79.900000000000006</v>
      </c>
      <c r="O121" s="7">
        <v>106</v>
      </c>
    </row>
    <row r="122" spans="1:15" x14ac:dyDescent="0.2">
      <c r="A122" s="4" t="s">
        <v>141</v>
      </c>
      <c r="B122" s="5">
        <v>69267</v>
      </c>
      <c r="C122" s="4" t="s">
        <v>25</v>
      </c>
      <c r="D122" s="6">
        <v>21</v>
      </c>
      <c r="E122" s="6">
        <v>80</v>
      </c>
      <c r="F122" s="7">
        <v>13.9</v>
      </c>
      <c r="G122" s="6">
        <v>1105</v>
      </c>
      <c r="H122" s="8">
        <v>0.2</v>
      </c>
      <c r="I122" s="8">
        <v>0.1</v>
      </c>
      <c r="J122" s="8">
        <v>0.1</v>
      </c>
      <c r="K122" s="8">
        <v>0.08</v>
      </c>
      <c r="L122" s="8">
        <v>0.04</v>
      </c>
      <c r="M122" s="8">
        <v>0.04</v>
      </c>
      <c r="N122" s="7">
        <v>98.7</v>
      </c>
      <c r="O122" s="7">
        <v>101.6</v>
      </c>
    </row>
    <row r="123" spans="1:15" x14ac:dyDescent="0.2">
      <c r="A123" s="4" t="s">
        <v>142</v>
      </c>
      <c r="B123" s="5">
        <v>69267</v>
      </c>
      <c r="C123" s="4" t="s">
        <v>25</v>
      </c>
      <c r="D123" s="6">
        <v>44</v>
      </c>
      <c r="E123" s="6">
        <v>671</v>
      </c>
      <c r="F123" s="7">
        <v>5.8</v>
      </c>
      <c r="G123" s="6">
        <v>3909</v>
      </c>
      <c r="H123" s="8">
        <v>0.3</v>
      </c>
      <c r="I123" s="8">
        <v>-0.1</v>
      </c>
      <c r="J123" s="8">
        <v>0.3</v>
      </c>
      <c r="K123" s="8">
        <v>0.02</v>
      </c>
      <c r="L123" s="8">
        <v>0</v>
      </c>
      <c r="M123" s="8">
        <v>0.02</v>
      </c>
      <c r="N123" s="7">
        <v>90.9</v>
      </c>
      <c r="O123" s="7">
        <v>106.2</v>
      </c>
    </row>
    <row r="124" spans="1:15" x14ac:dyDescent="0.2">
      <c r="A124" s="4" t="s">
        <v>143</v>
      </c>
      <c r="B124" s="5">
        <v>69267</v>
      </c>
      <c r="C124" s="4" t="s">
        <v>25</v>
      </c>
      <c r="D124" s="6">
        <v>26</v>
      </c>
      <c r="E124" s="6">
        <v>354</v>
      </c>
      <c r="F124" s="7">
        <v>10.3</v>
      </c>
      <c r="G124" s="6">
        <v>3651</v>
      </c>
      <c r="H124" s="8">
        <v>0.4</v>
      </c>
      <c r="I124" s="8">
        <v>0.3</v>
      </c>
      <c r="J124" s="8">
        <v>0.1</v>
      </c>
      <c r="K124" s="8">
        <v>0.04</v>
      </c>
      <c r="L124" s="8">
        <v>0.03</v>
      </c>
      <c r="M124" s="8">
        <v>0.01</v>
      </c>
      <c r="N124" s="7">
        <v>100.3</v>
      </c>
      <c r="O124" s="7">
        <v>108</v>
      </c>
    </row>
    <row r="125" spans="1:15" x14ac:dyDescent="0.2">
      <c r="A125" s="4" t="s">
        <v>144</v>
      </c>
      <c r="B125" s="5">
        <v>69267</v>
      </c>
      <c r="C125" s="4" t="s">
        <v>25</v>
      </c>
      <c r="D125" s="6">
        <v>41</v>
      </c>
      <c r="E125" s="6">
        <v>508</v>
      </c>
      <c r="F125" s="7">
        <v>10.5</v>
      </c>
      <c r="G125" s="6">
        <v>5337</v>
      </c>
      <c r="H125" s="8">
        <v>0.7</v>
      </c>
      <c r="I125" s="8">
        <v>0.4</v>
      </c>
      <c r="J125" s="8">
        <v>0.3</v>
      </c>
      <c r="K125" s="8">
        <v>0.06</v>
      </c>
      <c r="L125" s="8">
        <v>0.03</v>
      </c>
      <c r="M125" s="8">
        <v>0.02</v>
      </c>
      <c r="N125" s="7">
        <v>99.9</v>
      </c>
      <c r="O125" s="7">
        <v>105.3</v>
      </c>
    </row>
    <row r="126" spans="1:15" x14ac:dyDescent="0.2">
      <c r="A126" s="4" t="s">
        <v>145</v>
      </c>
      <c r="B126" s="5">
        <v>69267</v>
      </c>
      <c r="C126" s="4" t="s">
        <v>25</v>
      </c>
      <c r="D126" s="6">
        <v>31</v>
      </c>
      <c r="E126" s="6">
        <v>219</v>
      </c>
      <c r="F126" s="7">
        <v>17.5</v>
      </c>
      <c r="G126" s="6">
        <v>3831</v>
      </c>
      <c r="H126" s="8">
        <v>0.9</v>
      </c>
      <c r="I126" s="8">
        <v>0.5</v>
      </c>
      <c r="J126" s="8">
        <v>0.4</v>
      </c>
      <c r="K126" s="8">
        <v>0.16</v>
      </c>
      <c r="L126" s="8">
        <v>0.09</v>
      </c>
      <c r="M126" s="8">
        <v>7.0000000000000007E-2</v>
      </c>
      <c r="N126" s="7">
        <v>116.2</v>
      </c>
      <c r="O126" s="7">
        <v>96</v>
      </c>
    </row>
    <row r="127" spans="1:15" x14ac:dyDescent="0.2">
      <c r="A127" s="4" t="s">
        <v>146</v>
      </c>
      <c r="B127" s="5">
        <v>69267</v>
      </c>
      <c r="C127" s="4" t="s">
        <v>25</v>
      </c>
      <c r="D127" s="6">
        <v>43</v>
      </c>
      <c r="E127" s="6">
        <v>720</v>
      </c>
      <c r="F127" s="7">
        <v>13.2</v>
      </c>
      <c r="G127" s="6">
        <v>9488</v>
      </c>
      <c r="H127" s="8">
        <v>2</v>
      </c>
      <c r="I127" s="8">
        <v>1.2</v>
      </c>
      <c r="J127" s="8">
        <v>0.9</v>
      </c>
      <c r="K127" s="8">
        <v>0.11</v>
      </c>
      <c r="L127" s="8">
        <v>7.0000000000000007E-2</v>
      </c>
      <c r="M127" s="8">
        <v>0.05</v>
      </c>
      <c r="N127" s="7">
        <v>107.7</v>
      </c>
      <c r="O127" s="7">
        <v>100.7</v>
      </c>
    </row>
    <row r="128" spans="1:15" x14ac:dyDescent="0.2">
      <c r="A128" s="4" t="s">
        <v>147</v>
      </c>
      <c r="B128" s="5">
        <v>68595</v>
      </c>
      <c r="C128" s="4" t="s">
        <v>25</v>
      </c>
      <c r="D128" s="6">
        <v>42</v>
      </c>
      <c r="E128" s="6">
        <v>687</v>
      </c>
      <c r="F128" s="7">
        <v>9.5</v>
      </c>
      <c r="G128" s="6">
        <v>6526</v>
      </c>
      <c r="H128" s="8">
        <v>0.9</v>
      </c>
      <c r="I128" s="8">
        <v>0.1</v>
      </c>
      <c r="J128" s="8">
        <v>0.8</v>
      </c>
      <c r="K128" s="8">
        <v>0.05</v>
      </c>
      <c r="L128" s="8">
        <v>0</v>
      </c>
      <c r="M128" s="8">
        <v>0.05</v>
      </c>
      <c r="N128" s="7">
        <v>92.8</v>
      </c>
      <c r="O128" s="7">
        <v>100.7</v>
      </c>
    </row>
    <row r="129" spans="1:15" x14ac:dyDescent="0.2">
      <c r="A129" s="4" t="s">
        <v>148</v>
      </c>
      <c r="B129" s="5">
        <v>68595</v>
      </c>
      <c r="C129" s="4" t="s">
        <v>18</v>
      </c>
      <c r="D129" s="6">
        <v>37</v>
      </c>
      <c r="E129" s="6">
        <v>1041</v>
      </c>
      <c r="F129" s="7">
        <v>12.2</v>
      </c>
      <c r="G129" s="6">
        <v>12656</v>
      </c>
      <c r="H129" s="8">
        <v>3.1</v>
      </c>
      <c r="I129" s="8">
        <v>1.9</v>
      </c>
      <c r="J129" s="8">
        <v>1.2</v>
      </c>
      <c r="K129" s="8">
        <v>0.12</v>
      </c>
      <c r="L129" s="8">
        <v>7.0000000000000007E-2</v>
      </c>
      <c r="M129" s="8">
        <v>0.05</v>
      </c>
      <c r="N129" s="7">
        <v>115.1</v>
      </c>
      <c r="O129" s="7">
        <v>101.2</v>
      </c>
    </row>
    <row r="130" spans="1:15" x14ac:dyDescent="0.2">
      <c r="A130" s="4" t="s">
        <v>149</v>
      </c>
      <c r="B130" s="5">
        <v>66710</v>
      </c>
      <c r="C130" s="4" t="s">
        <v>18</v>
      </c>
      <c r="D130" s="6">
        <v>19</v>
      </c>
      <c r="E130" s="6">
        <v>85</v>
      </c>
      <c r="F130" s="7">
        <v>7.1</v>
      </c>
      <c r="G130" s="6">
        <v>607000</v>
      </c>
      <c r="H130" s="8">
        <v>0.1</v>
      </c>
      <c r="I130" s="8">
        <v>0</v>
      </c>
      <c r="J130" s="8">
        <v>0.1</v>
      </c>
      <c r="K130" s="8">
        <v>0.06</v>
      </c>
      <c r="L130" s="8">
        <v>0.02</v>
      </c>
      <c r="M130" s="8">
        <v>0.04</v>
      </c>
      <c r="N130" s="7">
        <v>96.4</v>
      </c>
      <c r="O130" s="7">
        <v>101.5</v>
      </c>
    </row>
    <row r="131" spans="1:15" x14ac:dyDescent="0.2">
      <c r="A131" s="4" t="s">
        <v>150</v>
      </c>
      <c r="B131" s="5">
        <v>66710</v>
      </c>
      <c r="C131" s="4" t="s">
        <v>18</v>
      </c>
      <c r="D131" s="6">
        <v>43</v>
      </c>
      <c r="E131" s="6">
        <v>1008</v>
      </c>
      <c r="F131" s="7">
        <v>7.4</v>
      </c>
      <c r="G131" s="6">
        <v>7493</v>
      </c>
      <c r="H131" s="8">
        <v>0.6</v>
      </c>
      <c r="I131" s="8">
        <v>0.1</v>
      </c>
      <c r="J131" s="8">
        <v>0.5</v>
      </c>
      <c r="K131" s="8">
        <v>0.02</v>
      </c>
      <c r="L131" s="8">
        <v>0</v>
      </c>
      <c r="M131" s="8">
        <v>0.02</v>
      </c>
      <c r="N131" s="7">
        <v>92.8</v>
      </c>
      <c r="O131" s="7">
        <v>106.1</v>
      </c>
    </row>
    <row r="132" spans="1:15" x14ac:dyDescent="0.2">
      <c r="A132" s="4" t="s">
        <v>151</v>
      </c>
      <c r="B132" s="5">
        <v>66079</v>
      </c>
      <c r="C132" s="4" t="s">
        <v>29</v>
      </c>
      <c r="D132" s="6">
        <v>26</v>
      </c>
      <c r="E132" s="6">
        <v>261</v>
      </c>
      <c r="F132" s="7">
        <v>5.8</v>
      </c>
      <c r="G132" s="6">
        <v>1524</v>
      </c>
      <c r="H132" s="8">
        <v>-0.1</v>
      </c>
      <c r="I132" s="8">
        <v>-0.3</v>
      </c>
      <c r="J132" s="8">
        <v>0.2</v>
      </c>
      <c r="K132" s="8">
        <v>-0.01</v>
      </c>
      <c r="L132" s="8">
        <v>-0.04</v>
      </c>
      <c r="M132" s="8">
        <v>0.03</v>
      </c>
      <c r="N132" s="7">
        <v>83.2</v>
      </c>
      <c r="O132" s="7">
        <v>103.3</v>
      </c>
    </row>
    <row r="133" spans="1:15" x14ac:dyDescent="0.2">
      <c r="A133" s="4" t="s">
        <v>152</v>
      </c>
      <c r="B133" s="5">
        <v>66079</v>
      </c>
      <c r="C133" s="4" t="s">
        <v>29</v>
      </c>
      <c r="D133" s="6">
        <v>32</v>
      </c>
      <c r="E133" s="6">
        <v>471</v>
      </c>
      <c r="F133" s="7">
        <v>10</v>
      </c>
      <c r="G133" s="6">
        <v>4685</v>
      </c>
      <c r="H133" s="8">
        <v>0.6</v>
      </c>
      <c r="I133" s="8">
        <v>0.1</v>
      </c>
      <c r="J133" s="8">
        <v>0.5</v>
      </c>
      <c r="K133" s="8">
        <v>0.05</v>
      </c>
      <c r="L133" s="8">
        <v>0.01</v>
      </c>
      <c r="M133" s="8">
        <v>0.04</v>
      </c>
      <c r="N133" s="7">
        <v>93.8</v>
      </c>
      <c r="O133" s="7">
        <v>102.1</v>
      </c>
    </row>
    <row r="134" spans="1:15" x14ac:dyDescent="0.2">
      <c r="A134" s="4" t="s">
        <v>153</v>
      </c>
      <c r="B134" s="5">
        <v>66079</v>
      </c>
      <c r="C134" s="4" t="s">
        <v>29</v>
      </c>
      <c r="D134" s="6">
        <v>28</v>
      </c>
      <c r="E134" s="6">
        <v>628</v>
      </c>
      <c r="F134" s="7">
        <v>11.8</v>
      </c>
      <c r="G134" s="6">
        <v>7401</v>
      </c>
      <c r="H134" s="8">
        <v>0.7</v>
      </c>
      <c r="I134" s="8">
        <v>0.5</v>
      </c>
      <c r="J134" s="8">
        <v>0.2</v>
      </c>
      <c r="K134" s="8">
        <v>0.05</v>
      </c>
      <c r="L134" s="8">
        <v>0.03</v>
      </c>
      <c r="M134" s="8">
        <v>0.01</v>
      </c>
      <c r="N134" s="7">
        <v>101.9</v>
      </c>
      <c r="O134" s="7">
        <v>107.5</v>
      </c>
    </row>
    <row r="135" spans="1:15" x14ac:dyDescent="0.2">
      <c r="A135" s="4" t="s">
        <v>154</v>
      </c>
      <c r="B135" s="5">
        <v>66079</v>
      </c>
      <c r="C135" s="4" t="s">
        <v>29</v>
      </c>
      <c r="D135" s="6">
        <v>44</v>
      </c>
      <c r="E135" s="6">
        <v>803</v>
      </c>
      <c r="F135" s="7">
        <v>10.8</v>
      </c>
      <c r="G135" s="6">
        <v>8702</v>
      </c>
      <c r="H135" s="8">
        <v>1</v>
      </c>
      <c r="I135" s="8">
        <v>0.4</v>
      </c>
      <c r="J135" s="8">
        <v>0.7</v>
      </c>
      <c r="K135" s="8">
        <v>0.05</v>
      </c>
      <c r="L135" s="8">
        <v>0.02</v>
      </c>
      <c r="M135" s="8">
        <v>0.03</v>
      </c>
      <c r="N135" s="7">
        <v>96.3</v>
      </c>
      <c r="O135" s="7">
        <v>103.7</v>
      </c>
    </row>
    <row r="136" spans="1:15" x14ac:dyDescent="0.2">
      <c r="A136" s="4" t="s">
        <v>155</v>
      </c>
      <c r="B136" s="5">
        <v>66079</v>
      </c>
      <c r="C136" s="4" t="s">
        <v>29</v>
      </c>
      <c r="D136" s="6">
        <v>43</v>
      </c>
      <c r="E136" s="6">
        <v>792</v>
      </c>
      <c r="F136" s="7">
        <v>10.5</v>
      </c>
      <c r="G136" s="6">
        <v>8289</v>
      </c>
      <c r="H136" s="8">
        <v>1.6</v>
      </c>
      <c r="I136" s="8">
        <v>0.5</v>
      </c>
      <c r="J136" s="8">
        <v>1</v>
      </c>
      <c r="K136" s="8">
        <v>0.08</v>
      </c>
      <c r="L136" s="8">
        <v>0.03</v>
      </c>
      <c r="M136" s="8">
        <v>0.05</v>
      </c>
      <c r="N136" s="7">
        <v>100</v>
      </c>
      <c r="O136" s="7">
        <v>99.7</v>
      </c>
    </row>
    <row r="137" spans="1:15" x14ac:dyDescent="0.2">
      <c r="A137" s="4" t="s">
        <v>156</v>
      </c>
      <c r="B137" s="5">
        <v>66079</v>
      </c>
      <c r="C137" s="4" t="s">
        <v>157</v>
      </c>
      <c r="D137" s="6">
        <v>36</v>
      </c>
      <c r="E137" s="6">
        <v>973</v>
      </c>
      <c r="F137" s="7">
        <v>12.2</v>
      </c>
      <c r="G137" s="6">
        <v>11866</v>
      </c>
      <c r="H137" s="8">
        <v>1.9</v>
      </c>
      <c r="I137" s="8">
        <v>0.9</v>
      </c>
      <c r="J137" s="8">
        <v>1</v>
      </c>
      <c r="K137" s="8">
        <v>0.08</v>
      </c>
      <c r="L137" s="8">
        <v>0.04</v>
      </c>
      <c r="M137" s="8">
        <v>0.04</v>
      </c>
      <c r="N137" s="7">
        <v>99.3</v>
      </c>
      <c r="O137" s="7">
        <v>101.7</v>
      </c>
    </row>
    <row r="138" spans="1:15" x14ac:dyDescent="0.2">
      <c r="A138" s="4" t="s">
        <v>158</v>
      </c>
      <c r="B138" s="5">
        <v>66079</v>
      </c>
      <c r="C138" s="4" t="s">
        <v>157</v>
      </c>
      <c r="D138" s="6">
        <v>41</v>
      </c>
      <c r="E138" s="6">
        <v>881</v>
      </c>
      <c r="F138" s="7">
        <v>12.3</v>
      </c>
      <c r="G138" s="6">
        <v>10811</v>
      </c>
      <c r="H138" s="8">
        <v>2.2000000000000002</v>
      </c>
      <c r="I138" s="8">
        <v>1.4</v>
      </c>
      <c r="J138" s="8">
        <v>0.8</v>
      </c>
      <c r="K138" s="8">
        <v>0.1</v>
      </c>
      <c r="L138" s="8">
        <v>0.06</v>
      </c>
      <c r="M138" s="8">
        <v>0.04</v>
      </c>
      <c r="N138" s="7">
        <v>107.1</v>
      </c>
      <c r="O138" s="7">
        <v>103</v>
      </c>
    </row>
    <row r="139" spans="1:15" x14ac:dyDescent="0.2">
      <c r="A139" s="4" t="s">
        <v>159</v>
      </c>
      <c r="B139" s="5">
        <v>66079</v>
      </c>
      <c r="C139" s="4" t="s">
        <v>25</v>
      </c>
      <c r="D139" s="6">
        <v>35</v>
      </c>
      <c r="E139" s="6">
        <v>449</v>
      </c>
      <c r="F139" s="7">
        <v>3.7</v>
      </c>
      <c r="G139" s="6">
        <v>1646</v>
      </c>
      <c r="H139" s="8">
        <v>-0.6</v>
      </c>
      <c r="I139" s="8">
        <v>-0.6</v>
      </c>
      <c r="J139" s="8">
        <v>0</v>
      </c>
      <c r="K139" s="8">
        <v>-0.05</v>
      </c>
      <c r="L139" s="8">
        <v>-0.05</v>
      </c>
      <c r="M139" s="8">
        <v>0</v>
      </c>
      <c r="N139" s="7">
        <v>79.2</v>
      </c>
      <c r="O139" s="7">
        <v>109.7</v>
      </c>
    </row>
    <row r="140" spans="1:15" x14ac:dyDescent="0.2">
      <c r="A140" s="4" t="s">
        <v>160</v>
      </c>
      <c r="B140" s="5">
        <v>66079</v>
      </c>
      <c r="C140" s="4" t="s">
        <v>25</v>
      </c>
      <c r="D140" s="6">
        <v>17</v>
      </c>
      <c r="E140" s="6">
        <v>36</v>
      </c>
      <c r="F140" s="7">
        <v>5.5</v>
      </c>
      <c r="G140" s="6">
        <v>198000</v>
      </c>
      <c r="H140" s="8">
        <v>0</v>
      </c>
      <c r="I140" s="8">
        <v>-0.1</v>
      </c>
      <c r="J140" s="8">
        <v>0.1</v>
      </c>
      <c r="K140" s="8">
        <v>-0.02</v>
      </c>
      <c r="L140" s="8">
        <v>-0.11</v>
      </c>
      <c r="M140" s="8">
        <v>0.09</v>
      </c>
      <c r="N140" s="7">
        <v>64.900000000000006</v>
      </c>
      <c r="O140" s="7">
        <v>91.6</v>
      </c>
    </row>
    <row r="141" spans="1:15" x14ac:dyDescent="0.2">
      <c r="A141" s="4" t="s">
        <v>161</v>
      </c>
      <c r="B141" s="5">
        <v>66079</v>
      </c>
      <c r="C141" s="4" t="s">
        <v>25</v>
      </c>
      <c r="D141" s="6">
        <v>34</v>
      </c>
      <c r="E141" s="6">
        <v>539</v>
      </c>
      <c r="F141" s="7">
        <v>13.1</v>
      </c>
      <c r="G141" s="6">
        <v>7072</v>
      </c>
      <c r="H141" s="8">
        <v>0.7</v>
      </c>
      <c r="I141" s="8">
        <v>0.5</v>
      </c>
      <c r="J141" s="8">
        <v>0.2</v>
      </c>
      <c r="K141" s="8">
        <v>0.05</v>
      </c>
      <c r="L141" s="8">
        <v>0.04</v>
      </c>
      <c r="M141" s="8">
        <v>0.01</v>
      </c>
      <c r="N141" s="7">
        <v>98.9</v>
      </c>
      <c r="O141" s="7">
        <v>107.5</v>
      </c>
    </row>
    <row r="142" spans="1:15" x14ac:dyDescent="0.2">
      <c r="A142" s="4" t="s">
        <v>162</v>
      </c>
      <c r="B142" s="5">
        <v>66079</v>
      </c>
      <c r="C142" s="4" t="s">
        <v>54</v>
      </c>
      <c r="D142" s="6">
        <v>26</v>
      </c>
      <c r="E142" s="6">
        <v>142</v>
      </c>
      <c r="F142" s="7">
        <v>5.4</v>
      </c>
      <c r="G142" s="6">
        <v>774000</v>
      </c>
      <c r="H142" s="8">
        <v>0.1</v>
      </c>
      <c r="I142" s="8">
        <v>-0.1</v>
      </c>
      <c r="J142" s="8">
        <v>0.2</v>
      </c>
      <c r="K142" s="8">
        <v>0.01</v>
      </c>
      <c r="L142" s="8">
        <v>-0.04</v>
      </c>
      <c r="M142" s="8">
        <v>0.06</v>
      </c>
      <c r="N142" s="7">
        <v>80.7</v>
      </c>
      <c r="O142" s="7">
        <v>99.1</v>
      </c>
    </row>
    <row r="143" spans="1:15" x14ac:dyDescent="0.2">
      <c r="A143" s="4" t="s">
        <v>163</v>
      </c>
      <c r="B143" s="5">
        <v>66079</v>
      </c>
      <c r="C143" s="4" t="s">
        <v>54</v>
      </c>
      <c r="D143" s="6">
        <v>41</v>
      </c>
      <c r="E143" s="6">
        <v>502</v>
      </c>
      <c r="F143" s="7">
        <v>12.5</v>
      </c>
      <c r="G143" s="6">
        <v>6265</v>
      </c>
      <c r="H143" s="8">
        <v>1.5</v>
      </c>
      <c r="I143" s="8">
        <v>0.9</v>
      </c>
      <c r="J143" s="8">
        <v>0.6</v>
      </c>
      <c r="K143" s="8">
        <v>0.12</v>
      </c>
      <c r="L143" s="8">
        <v>7.0000000000000007E-2</v>
      </c>
      <c r="M143" s="8">
        <v>0.04</v>
      </c>
      <c r="N143" s="7">
        <v>113.8</v>
      </c>
      <c r="O143" s="7">
        <v>101.3</v>
      </c>
    </row>
    <row r="144" spans="1:15" x14ac:dyDescent="0.2">
      <c r="A144" s="4" t="s">
        <v>164</v>
      </c>
      <c r="B144" s="5">
        <v>66079</v>
      </c>
      <c r="C144" s="4" t="s">
        <v>54</v>
      </c>
      <c r="D144" s="6">
        <v>41</v>
      </c>
      <c r="E144" s="6">
        <v>760</v>
      </c>
      <c r="F144" s="7">
        <v>12.6</v>
      </c>
      <c r="G144" s="6">
        <v>9597</v>
      </c>
      <c r="H144" s="8">
        <v>2.2000000000000002</v>
      </c>
      <c r="I144" s="8">
        <v>1</v>
      </c>
      <c r="J144" s="8">
        <v>1.2</v>
      </c>
      <c r="K144" s="8">
        <v>0.12</v>
      </c>
      <c r="L144" s="8">
        <v>0.05</v>
      </c>
      <c r="M144" s="8">
        <v>0.06</v>
      </c>
      <c r="N144" s="7">
        <v>106.9</v>
      </c>
      <c r="O144" s="7">
        <v>97.4</v>
      </c>
    </row>
    <row r="145" spans="1:15" x14ac:dyDescent="0.2">
      <c r="A145" s="4" t="s">
        <v>165</v>
      </c>
      <c r="B145" s="5">
        <v>66079</v>
      </c>
      <c r="C145" s="4" t="s">
        <v>18</v>
      </c>
      <c r="D145" s="6">
        <v>31</v>
      </c>
      <c r="E145" s="6">
        <v>520</v>
      </c>
      <c r="F145" s="7">
        <v>13.4</v>
      </c>
      <c r="G145" s="6">
        <v>6947</v>
      </c>
      <c r="H145" s="8">
        <v>1.1000000000000001</v>
      </c>
      <c r="I145" s="8">
        <v>0.9</v>
      </c>
      <c r="J145" s="8">
        <v>0.2</v>
      </c>
      <c r="K145" s="8">
        <v>0.08</v>
      </c>
      <c r="L145" s="8">
        <v>7.0000000000000007E-2</v>
      </c>
      <c r="M145" s="8">
        <v>0.02</v>
      </c>
      <c r="N145" s="7">
        <v>107.3</v>
      </c>
      <c r="O145" s="7">
        <v>106.5</v>
      </c>
    </row>
    <row r="146" spans="1:15" x14ac:dyDescent="0.2">
      <c r="A146" s="4" t="s">
        <v>138</v>
      </c>
      <c r="B146" s="5">
        <v>63721</v>
      </c>
      <c r="C146" s="4" t="s">
        <v>29</v>
      </c>
      <c r="D146" s="6">
        <v>33</v>
      </c>
      <c r="E146" s="6">
        <v>778</v>
      </c>
      <c r="F146" s="7">
        <v>15.2</v>
      </c>
      <c r="G146" s="6">
        <v>11865</v>
      </c>
      <c r="H146" s="8">
        <v>2.6</v>
      </c>
      <c r="I146" s="8">
        <v>1.6</v>
      </c>
      <c r="J146" s="8">
        <v>1</v>
      </c>
      <c r="K146" s="8">
        <v>0.13</v>
      </c>
      <c r="L146" s="8">
        <v>0.08</v>
      </c>
      <c r="M146" s="8">
        <v>0.05</v>
      </c>
      <c r="N146" s="7">
        <v>111.1</v>
      </c>
      <c r="O146" s="7">
        <v>100.2</v>
      </c>
    </row>
    <row r="147" spans="1:15" x14ac:dyDescent="0.2">
      <c r="A147" s="4" t="s">
        <v>166</v>
      </c>
      <c r="B147" s="5">
        <v>54622</v>
      </c>
      <c r="C147" s="4" t="s">
        <v>29</v>
      </c>
      <c r="D147" s="6">
        <v>24</v>
      </c>
      <c r="E147" s="6">
        <v>671</v>
      </c>
      <c r="F147" s="7">
        <v>12</v>
      </c>
      <c r="G147" s="6">
        <v>8071</v>
      </c>
      <c r="H147" s="8">
        <v>1.2</v>
      </c>
      <c r="I147" s="8">
        <v>1.1000000000000001</v>
      </c>
      <c r="J147" s="8">
        <v>0.1</v>
      </c>
      <c r="K147" s="8">
        <v>7.0000000000000007E-2</v>
      </c>
      <c r="L147" s="8">
        <v>0.06</v>
      </c>
      <c r="M147" s="8">
        <v>0.01</v>
      </c>
      <c r="N147" s="7">
        <v>106.4</v>
      </c>
      <c r="O147" s="7">
        <v>109</v>
      </c>
    </row>
    <row r="148" spans="1:15" x14ac:dyDescent="0.2">
      <c r="A148" s="4" t="s">
        <v>167</v>
      </c>
      <c r="B148" s="5">
        <v>54418</v>
      </c>
      <c r="C148" s="4" t="s">
        <v>29</v>
      </c>
      <c r="D148" s="6">
        <v>34</v>
      </c>
      <c r="E148" s="6">
        <v>373</v>
      </c>
      <c r="F148" s="7">
        <v>19.600000000000001</v>
      </c>
      <c r="G148" s="6">
        <v>7298</v>
      </c>
      <c r="H148" s="8">
        <v>1.5</v>
      </c>
      <c r="I148" s="8">
        <v>0.7</v>
      </c>
      <c r="J148" s="8">
        <v>0.9</v>
      </c>
      <c r="K148" s="8">
        <v>0.16</v>
      </c>
      <c r="L148" s="8">
        <v>7.0000000000000007E-2</v>
      </c>
      <c r="M148" s="8">
        <v>0.09</v>
      </c>
      <c r="N148" s="7">
        <v>106.5</v>
      </c>
      <c r="O148" s="7">
        <v>91.6</v>
      </c>
    </row>
    <row r="149" spans="1:15" x14ac:dyDescent="0.2">
      <c r="A149" s="4" t="s">
        <v>168</v>
      </c>
      <c r="B149" s="5">
        <v>53307</v>
      </c>
      <c r="C149" s="4" t="s">
        <v>29</v>
      </c>
      <c r="D149" s="6">
        <v>29</v>
      </c>
      <c r="E149" s="6">
        <v>384</v>
      </c>
      <c r="F149" s="7">
        <v>18.3</v>
      </c>
      <c r="G149" s="6">
        <v>7020</v>
      </c>
      <c r="H149" s="8">
        <v>1.5</v>
      </c>
      <c r="I149" s="8">
        <v>0.7</v>
      </c>
      <c r="J149" s="8">
        <v>0.9</v>
      </c>
      <c r="K149" s="8">
        <v>0.16</v>
      </c>
      <c r="L149" s="8">
        <v>7.0000000000000007E-2</v>
      </c>
      <c r="M149" s="8">
        <v>0.09</v>
      </c>
      <c r="N149" s="7">
        <v>105.1</v>
      </c>
      <c r="O149" s="7">
        <v>92.4</v>
      </c>
    </row>
    <row r="150" spans="1:15" x14ac:dyDescent="0.2">
      <c r="A150" s="4" t="s">
        <v>169</v>
      </c>
      <c r="B150" s="5">
        <v>52333</v>
      </c>
      <c r="C150" s="4" t="s">
        <v>29</v>
      </c>
      <c r="D150" s="6">
        <v>20</v>
      </c>
      <c r="E150" s="6">
        <v>525</v>
      </c>
      <c r="F150" s="7">
        <v>14.1</v>
      </c>
      <c r="G150" s="6">
        <v>7383</v>
      </c>
      <c r="H150" s="8">
        <v>1.4</v>
      </c>
      <c r="I150" s="8">
        <v>0.9</v>
      </c>
      <c r="J150" s="8">
        <v>0.5</v>
      </c>
      <c r="K150" s="8">
        <v>0.11</v>
      </c>
      <c r="L150" s="8">
        <v>7.0000000000000007E-2</v>
      </c>
      <c r="M150" s="8">
        <v>0.04</v>
      </c>
      <c r="N150" s="7">
        <v>105.8</v>
      </c>
      <c r="O150" s="7">
        <v>102.8</v>
      </c>
    </row>
    <row r="151" spans="1:15" x14ac:dyDescent="0.2">
      <c r="A151" s="4" t="s">
        <v>170</v>
      </c>
      <c r="B151" s="5">
        <v>49420</v>
      </c>
      <c r="C151" s="4" t="s">
        <v>29</v>
      </c>
      <c r="D151" s="6">
        <v>24</v>
      </c>
      <c r="E151" s="6">
        <v>247</v>
      </c>
      <c r="F151" s="7">
        <v>4.8</v>
      </c>
      <c r="G151" s="6">
        <v>1184</v>
      </c>
      <c r="H151" s="8">
        <v>0</v>
      </c>
      <c r="I151" s="8">
        <v>-0.2</v>
      </c>
      <c r="J151" s="8">
        <v>0.2</v>
      </c>
      <c r="K151" s="8">
        <v>0.01</v>
      </c>
      <c r="L151" s="8">
        <v>-0.02</v>
      </c>
      <c r="M151" s="8">
        <v>0.03</v>
      </c>
      <c r="N151" s="7">
        <v>84.8</v>
      </c>
      <c r="O151" s="7">
        <v>104</v>
      </c>
    </row>
    <row r="152" spans="1:15" x14ac:dyDescent="0.2">
      <c r="A152" s="4" t="s">
        <v>171</v>
      </c>
      <c r="B152" s="5">
        <v>48865</v>
      </c>
      <c r="C152" s="4" t="s">
        <v>29</v>
      </c>
      <c r="D152" s="6">
        <v>10</v>
      </c>
      <c r="E152" s="6">
        <v>58</v>
      </c>
      <c r="F152" s="7">
        <v>13.6</v>
      </c>
      <c r="G152" s="6">
        <v>793000</v>
      </c>
      <c r="H152" s="8">
        <v>0.2</v>
      </c>
      <c r="I152" s="8">
        <v>0.1</v>
      </c>
      <c r="J152" s="8">
        <v>0.1</v>
      </c>
      <c r="K152" s="8">
        <v>0.16</v>
      </c>
      <c r="L152" s="8">
        <v>0.09</v>
      </c>
      <c r="M152" s="8">
        <v>7.0000000000000007E-2</v>
      </c>
      <c r="N152" s="7">
        <v>156.5</v>
      </c>
      <c r="O152" s="7">
        <v>96.4</v>
      </c>
    </row>
    <row r="153" spans="1:15" x14ac:dyDescent="0.2">
      <c r="A153" s="4" t="s">
        <v>172</v>
      </c>
      <c r="B153" s="5">
        <v>42757</v>
      </c>
      <c r="C153" s="4" t="s">
        <v>29</v>
      </c>
      <c r="D153" s="6">
        <v>10</v>
      </c>
      <c r="E153" s="6">
        <v>131</v>
      </c>
      <c r="F153" s="7">
        <v>6.5</v>
      </c>
      <c r="G153" s="6">
        <v>849000</v>
      </c>
      <c r="H153" s="8">
        <v>-0.1</v>
      </c>
      <c r="I153" s="8">
        <v>0</v>
      </c>
      <c r="J153" s="8">
        <v>-0.1</v>
      </c>
      <c r="K153" s="8">
        <v>-0.03</v>
      </c>
      <c r="L153" s="8">
        <v>-0.01</v>
      </c>
      <c r="M153" s="8">
        <v>-0.02</v>
      </c>
      <c r="N153" s="7">
        <v>88.9</v>
      </c>
      <c r="O153" s="7">
        <v>114.4</v>
      </c>
    </row>
    <row r="154" spans="1:15" x14ac:dyDescent="0.2">
      <c r="A154" s="4" t="s">
        <v>173</v>
      </c>
      <c r="B154" s="5">
        <v>42397</v>
      </c>
      <c r="C154" s="4" t="s">
        <v>29</v>
      </c>
      <c r="D154" s="6">
        <v>39</v>
      </c>
      <c r="E154" s="6">
        <v>510</v>
      </c>
      <c r="F154" s="7">
        <v>6</v>
      </c>
      <c r="G154" s="6">
        <v>3071</v>
      </c>
      <c r="H154" s="8">
        <v>0.4</v>
      </c>
      <c r="I154" s="8">
        <v>0</v>
      </c>
      <c r="J154" s="8">
        <v>0.4</v>
      </c>
      <c r="K154" s="8">
        <v>0.03</v>
      </c>
      <c r="L154" s="8">
        <v>0</v>
      </c>
      <c r="M154" s="8">
        <v>0.03</v>
      </c>
      <c r="N154" s="7">
        <v>92.8</v>
      </c>
      <c r="O154" s="7">
        <v>104.5</v>
      </c>
    </row>
    <row r="155" spans="1:15" x14ac:dyDescent="0.2">
      <c r="A155" s="4" t="s">
        <v>173</v>
      </c>
      <c r="B155" s="5">
        <v>40789</v>
      </c>
      <c r="C155" s="4" t="s">
        <v>29</v>
      </c>
      <c r="D155" s="6">
        <v>39</v>
      </c>
      <c r="E155" s="6">
        <v>510</v>
      </c>
      <c r="F155" s="7">
        <v>6</v>
      </c>
      <c r="G155" s="6">
        <v>3071</v>
      </c>
      <c r="H155" s="8">
        <v>0.4</v>
      </c>
      <c r="I155" s="8">
        <v>0</v>
      </c>
      <c r="J155" s="8">
        <v>0.4</v>
      </c>
      <c r="K155" s="8">
        <v>0.03</v>
      </c>
      <c r="L155" s="8">
        <v>0</v>
      </c>
      <c r="M155" s="8">
        <v>0.03</v>
      </c>
      <c r="N155" s="7">
        <v>92.8</v>
      </c>
      <c r="O155" s="7">
        <v>104.5</v>
      </c>
    </row>
    <row r="156" spans="1:15" x14ac:dyDescent="0.2">
      <c r="A156" s="4" t="s">
        <v>174</v>
      </c>
      <c r="B156" s="5">
        <v>39747</v>
      </c>
      <c r="C156" s="4" t="s">
        <v>29</v>
      </c>
      <c r="D156" s="6">
        <v>33</v>
      </c>
      <c r="E156" s="6">
        <v>380</v>
      </c>
      <c r="F156" s="7">
        <v>5</v>
      </c>
      <c r="G156" s="6">
        <v>1894</v>
      </c>
      <c r="H156" s="8">
        <v>-0.3</v>
      </c>
      <c r="I156" s="8">
        <v>-0.3</v>
      </c>
      <c r="J156" s="8">
        <v>0</v>
      </c>
      <c r="K156" s="8">
        <v>-0.03</v>
      </c>
      <c r="L156" s="8">
        <v>-0.03</v>
      </c>
      <c r="M156" s="8">
        <v>0</v>
      </c>
      <c r="N156" s="7">
        <v>82.4</v>
      </c>
      <c r="O156" s="7">
        <v>109.3</v>
      </c>
    </row>
    <row r="157" spans="1:15" x14ac:dyDescent="0.2">
      <c r="A157" s="4" t="s">
        <v>175</v>
      </c>
      <c r="B157" s="5">
        <v>37769</v>
      </c>
      <c r="C157" s="4" t="s">
        <v>18</v>
      </c>
      <c r="D157" s="6">
        <v>19</v>
      </c>
      <c r="E157" s="6">
        <v>99</v>
      </c>
      <c r="F157" s="7">
        <v>12.5</v>
      </c>
      <c r="G157" s="6">
        <v>1232</v>
      </c>
      <c r="H157" s="8">
        <v>0.2</v>
      </c>
      <c r="I157" s="8">
        <v>0.2</v>
      </c>
      <c r="J157" s="8">
        <v>0.1</v>
      </c>
      <c r="K157" s="8">
        <v>0.1</v>
      </c>
      <c r="L157" s="8">
        <v>7.0000000000000007E-2</v>
      </c>
      <c r="M157" s="8">
        <v>0.03</v>
      </c>
      <c r="N157" s="7">
        <v>106.3</v>
      </c>
      <c r="O157" s="7">
        <v>103.2</v>
      </c>
    </row>
    <row r="158" spans="1:15" x14ac:dyDescent="0.2">
      <c r="A158" s="4" t="s">
        <v>176</v>
      </c>
      <c r="B158" s="5">
        <v>36178</v>
      </c>
      <c r="C158" s="4" t="s">
        <v>25</v>
      </c>
      <c r="D158" s="6">
        <v>11</v>
      </c>
      <c r="E158" s="6">
        <v>52</v>
      </c>
      <c r="F158" s="7">
        <v>0.5</v>
      </c>
      <c r="G158" s="6">
        <v>26000</v>
      </c>
      <c r="H158" s="8">
        <v>-0.1</v>
      </c>
      <c r="I158" s="8">
        <v>-0.1</v>
      </c>
      <c r="J158" s="8">
        <v>0</v>
      </c>
      <c r="K158" s="8">
        <v>-0.09</v>
      </c>
      <c r="L158" s="8">
        <v>-0.11</v>
      </c>
      <c r="M158" s="8">
        <v>0.02</v>
      </c>
      <c r="N158" s="7">
        <v>66.7</v>
      </c>
      <c r="O158" s="7">
        <v>106.5</v>
      </c>
    </row>
    <row r="159" spans="1:15" x14ac:dyDescent="0.2">
      <c r="A159" s="4" t="s">
        <v>177</v>
      </c>
      <c r="B159" s="5">
        <v>36094</v>
      </c>
      <c r="C159" s="4" t="s">
        <v>29</v>
      </c>
      <c r="D159" s="6">
        <v>28</v>
      </c>
      <c r="E159" s="6">
        <v>594</v>
      </c>
      <c r="F159" s="7">
        <v>11.4</v>
      </c>
      <c r="G159" s="6">
        <v>6789</v>
      </c>
      <c r="H159" s="8">
        <v>0.4</v>
      </c>
      <c r="I159" s="8">
        <v>0</v>
      </c>
      <c r="J159" s="8">
        <v>0.3</v>
      </c>
      <c r="K159" s="8">
        <v>0.03</v>
      </c>
      <c r="L159" s="8">
        <v>0</v>
      </c>
      <c r="M159" s="8">
        <v>0.02</v>
      </c>
      <c r="N159" s="7">
        <v>92.6</v>
      </c>
      <c r="O159" s="7">
        <v>105.6</v>
      </c>
    </row>
    <row r="160" spans="1:15" x14ac:dyDescent="0.2">
      <c r="A160" s="4" t="s">
        <v>70</v>
      </c>
      <c r="B160" s="5">
        <v>35110</v>
      </c>
      <c r="C160" s="4" t="s">
        <v>29</v>
      </c>
      <c r="D160" s="6">
        <v>38</v>
      </c>
      <c r="E160" s="6">
        <v>541</v>
      </c>
      <c r="F160" s="7">
        <v>9.1</v>
      </c>
      <c r="G160" s="6">
        <v>4920</v>
      </c>
      <c r="H160" s="8">
        <v>0.7</v>
      </c>
      <c r="I160" s="8">
        <v>0.1</v>
      </c>
      <c r="J160" s="8">
        <v>0.6</v>
      </c>
      <c r="K160" s="8">
        <v>0.05</v>
      </c>
      <c r="L160" s="8">
        <v>0.01</v>
      </c>
      <c r="M160" s="8">
        <v>0.04</v>
      </c>
      <c r="N160" s="7">
        <v>94.5</v>
      </c>
      <c r="O160" s="7">
        <v>101.4</v>
      </c>
    </row>
    <row r="161" spans="1:15" x14ac:dyDescent="0.2">
      <c r="A161" s="4" t="s">
        <v>178</v>
      </c>
      <c r="B161" s="5">
        <v>32207</v>
      </c>
      <c r="C161" s="4" t="s">
        <v>25</v>
      </c>
      <c r="D161" s="6">
        <v>21</v>
      </c>
      <c r="E161" s="6">
        <v>486</v>
      </c>
      <c r="F161" s="7">
        <v>16.2</v>
      </c>
      <c r="G161" s="6">
        <v>7892</v>
      </c>
      <c r="H161" s="8">
        <v>1.8</v>
      </c>
      <c r="I161" s="8">
        <v>1.2</v>
      </c>
      <c r="J161" s="8">
        <v>0.6</v>
      </c>
      <c r="K161" s="8">
        <v>0.15</v>
      </c>
      <c r="L161" s="8">
        <v>0.1</v>
      </c>
      <c r="M161" s="8">
        <v>0.05</v>
      </c>
      <c r="N161" s="7">
        <v>116.6</v>
      </c>
      <c r="O161" s="7">
        <v>100.6</v>
      </c>
    </row>
    <row r="162" spans="1:15" x14ac:dyDescent="0.2">
      <c r="A162" s="4" t="s">
        <v>179</v>
      </c>
      <c r="B162" s="5">
        <v>31096</v>
      </c>
      <c r="C162" s="4" t="s">
        <v>29</v>
      </c>
      <c r="D162" s="6">
        <v>1</v>
      </c>
      <c r="E162" s="6">
        <v>13</v>
      </c>
      <c r="F162" s="7">
        <v>15.8</v>
      </c>
      <c r="G162" s="6">
        <v>199000</v>
      </c>
      <c r="H162" s="8">
        <v>0.1</v>
      </c>
      <c r="I162" s="8">
        <v>0</v>
      </c>
      <c r="J162" s="8">
        <v>0</v>
      </c>
      <c r="K162" s="8">
        <v>0.17</v>
      </c>
      <c r="L162" s="8">
        <v>0.12</v>
      </c>
      <c r="M162" s="8">
        <v>0.04</v>
      </c>
      <c r="N162" s="7">
        <v>124.2</v>
      </c>
      <c r="O162" s="7">
        <v>101.8</v>
      </c>
    </row>
    <row r="163" spans="1:15" x14ac:dyDescent="0.2">
      <c r="A163" s="4" t="s">
        <v>180</v>
      </c>
      <c r="B163" s="5">
        <v>31096</v>
      </c>
      <c r="C163" s="4" t="s">
        <v>157</v>
      </c>
      <c r="D163" s="6">
        <v>12</v>
      </c>
      <c r="E163" s="6">
        <v>122</v>
      </c>
      <c r="F163" s="7">
        <v>13.4</v>
      </c>
      <c r="G163" s="6">
        <v>1628</v>
      </c>
      <c r="H163" s="8">
        <v>0.3</v>
      </c>
      <c r="I163" s="8">
        <v>0.2</v>
      </c>
      <c r="J163" s="8">
        <v>0.1</v>
      </c>
      <c r="K163" s="8">
        <v>0.11</v>
      </c>
      <c r="L163" s="8">
        <v>7.0000000000000007E-2</v>
      </c>
      <c r="M163" s="8">
        <v>0.04</v>
      </c>
      <c r="N163" s="7">
        <v>107.3</v>
      </c>
      <c r="O163" s="7">
        <v>101.8</v>
      </c>
    </row>
    <row r="164" spans="1:15" x14ac:dyDescent="0.2">
      <c r="A164" s="4" t="s">
        <v>181</v>
      </c>
      <c r="B164" s="5">
        <v>27940</v>
      </c>
      <c r="C164" s="4" t="s">
        <v>18</v>
      </c>
      <c r="D164" s="6">
        <v>12</v>
      </c>
      <c r="E164" s="6">
        <v>98</v>
      </c>
      <c r="F164" s="7">
        <v>1.2</v>
      </c>
      <c r="G164" s="6">
        <v>115000</v>
      </c>
      <c r="H164" s="8">
        <v>-0.1</v>
      </c>
      <c r="I164" s="8">
        <v>-0.3</v>
      </c>
      <c r="J164" s="8">
        <v>0.1</v>
      </c>
      <c r="K164" s="8">
        <v>-0.06</v>
      </c>
      <c r="L164" s="8">
        <v>-0.12</v>
      </c>
      <c r="M164" s="8">
        <v>0.05</v>
      </c>
      <c r="N164" s="7">
        <v>58.1</v>
      </c>
      <c r="O164" s="7">
        <v>99.1</v>
      </c>
    </row>
    <row r="165" spans="1:15" x14ac:dyDescent="0.2">
      <c r="A165" s="4" t="s">
        <v>182</v>
      </c>
      <c r="B165" s="5">
        <v>27764</v>
      </c>
      <c r="C165" s="4" t="s">
        <v>29</v>
      </c>
      <c r="D165" s="6">
        <v>13</v>
      </c>
      <c r="E165" s="6">
        <v>103</v>
      </c>
      <c r="F165" s="7">
        <v>5.7</v>
      </c>
      <c r="G165" s="6">
        <v>589000</v>
      </c>
      <c r="H165" s="8">
        <v>-0.1</v>
      </c>
      <c r="I165" s="8">
        <v>-0.1</v>
      </c>
      <c r="J165" s="8">
        <v>0</v>
      </c>
      <c r="K165" s="8">
        <v>-0.03</v>
      </c>
      <c r="L165" s="8">
        <v>-0.03</v>
      </c>
      <c r="M165" s="8">
        <v>-0.01</v>
      </c>
      <c r="N165" s="7">
        <v>84.4</v>
      </c>
      <c r="O165" s="7">
        <v>111.4</v>
      </c>
    </row>
    <row r="166" spans="1:15" x14ac:dyDescent="0.2">
      <c r="A166" s="4" t="s">
        <v>183</v>
      </c>
      <c r="B166" s="5">
        <v>25543</v>
      </c>
      <c r="C166" s="4" t="s">
        <v>29</v>
      </c>
      <c r="D166" s="6">
        <v>25</v>
      </c>
      <c r="E166" s="6">
        <v>440</v>
      </c>
      <c r="F166" s="7">
        <v>2.9</v>
      </c>
      <c r="G166" s="6">
        <v>1284</v>
      </c>
      <c r="H166" s="8">
        <v>-0.7</v>
      </c>
      <c r="I166" s="8">
        <v>-0.8</v>
      </c>
      <c r="J166" s="8">
        <v>0.1</v>
      </c>
      <c r="K166" s="8">
        <v>-0.06</v>
      </c>
      <c r="L166" s="8">
        <v>-7.0000000000000007E-2</v>
      </c>
      <c r="M166" s="8">
        <v>0.01</v>
      </c>
      <c r="N166" s="7">
        <v>73.5</v>
      </c>
      <c r="O166" s="7">
        <v>107.8</v>
      </c>
    </row>
    <row r="167" spans="1:15" x14ac:dyDescent="0.2">
      <c r="A167" s="4" t="s">
        <v>174</v>
      </c>
      <c r="B167" s="5">
        <v>25173</v>
      </c>
      <c r="C167" s="4" t="s">
        <v>29</v>
      </c>
      <c r="D167" s="6">
        <v>33</v>
      </c>
      <c r="E167" s="6">
        <v>380</v>
      </c>
      <c r="F167" s="7">
        <v>5</v>
      </c>
      <c r="G167" s="6">
        <v>1894</v>
      </c>
      <c r="H167" s="8">
        <v>-0.3</v>
      </c>
      <c r="I167" s="8">
        <v>-0.3</v>
      </c>
      <c r="J167" s="8">
        <v>0</v>
      </c>
      <c r="K167" s="8">
        <v>-0.03</v>
      </c>
      <c r="L167" s="8">
        <v>-0.03</v>
      </c>
      <c r="M167" s="8">
        <v>0</v>
      </c>
      <c r="N167" s="7">
        <v>82.4</v>
      </c>
      <c r="O167" s="7">
        <v>109.3</v>
      </c>
    </row>
    <row r="168" spans="1:15" x14ac:dyDescent="0.2">
      <c r="A168" s="4" t="s">
        <v>184</v>
      </c>
      <c r="B168" s="5">
        <v>23322</v>
      </c>
      <c r="C168" s="4" t="s">
        <v>29</v>
      </c>
      <c r="D168" s="6">
        <v>14</v>
      </c>
      <c r="E168" s="6">
        <v>154</v>
      </c>
      <c r="F168" s="7">
        <v>14.8</v>
      </c>
      <c r="G168" s="6">
        <v>2279</v>
      </c>
      <c r="H168" s="8">
        <v>0.5</v>
      </c>
      <c r="I168" s="8">
        <v>0.3</v>
      </c>
      <c r="J168" s="8">
        <v>0.2</v>
      </c>
      <c r="K168" s="8">
        <v>0.13</v>
      </c>
      <c r="L168" s="8">
        <v>0.08</v>
      </c>
      <c r="M168" s="8">
        <v>0.05</v>
      </c>
      <c r="N168" s="7">
        <v>109.7</v>
      </c>
      <c r="O168" s="7">
        <v>99.2</v>
      </c>
    </row>
    <row r="169" spans="1:15" x14ac:dyDescent="0.2">
      <c r="A169" s="4" t="s">
        <v>185</v>
      </c>
      <c r="B169" s="5">
        <v>21198</v>
      </c>
      <c r="C169" s="4" t="s">
        <v>29</v>
      </c>
      <c r="D169" s="6">
        <v>35</v>
      </c>
      <c r="E169" s="6">
        <v>616</v>
      </c>
      <c r="F169" s="7">
        <v>14</v>
      </c>
      <c r="G169" s="6">
        <v>8608</v>
      </c>
      <c r="H169" s="8">
        <v>1.6</v>
      </c>
      <c r="I169" s="8">
        <v>0.8</v>
      </c>
      <c r="J169" s="8">
        <v>0.8</v>
      </c>
      <c r="K169" s="8">
        <v>0.11</v>
      </c>
      <c r="L169" s="8">
        <v>0.05</v>
      </c>
      <c r="M169" s="8">
        <v>0.05</v>
      </c>
      <c r="N169" s="7">
        <v>104.4</v>
      </c>
      <c r="O169" s="7">
        <v>100</v>
      </c>
    </row>
    <row r="170" spans="1:15" x14ac:dyDescent="0.2">
      <c r="A170" s="4" t="s">
        <v>162</v>
      </c>
      <c r="B170" s="5">
        <v>18880</v>
      </c>
      <c r="C170" s="4" t="s">
        <v>29</v>
      </c>
      <c r="D170" s="6">
        <v>26</v>
      </c>
      <c r="E170" s="6">
        <v>142</v>
      </c>
      <c r="F170" s="7">
        <v>5.4</v>
      </c>
      <c r="G170" s="6">
        <v>774000</v>
      </c>
      <c r="H170" s="8">
        <v>0.1</v>
      </c>
      <c r="I170" s="8">
        <v>-0.1</v>
      </c>
      <c r="J170" s="8">
        <v>0.2</v>
      </c>
      <c r="K170" s="8">
        <v>0.01</v>
      </c>
      <c r="L170" s="8">
        <v>-0.04</v>
      </c>
      <c r="M170" s="8">
        <v>0.06</v>
      </c>
      <c r="N170" s="7">
        <v>80.7</v>
      </c>
      <c r="O170" s="7">
        <v>99.1</v>
      </c>
    </row>
    <row r="171" spans="1:15" x14ac:dyDescent="0.2">
      <c r="A171" s="4" t="s">
        <v>186</v>
      </c>
      <c r="B171" s="5">
        <v>17769</v>
      </c>
      <c r="C171" s="4" t="s">
        <v>29</v>
      </c>
      <c r="D171" s="6">
        <v>18</v>
      </c>
      <c r="E171" s="6">
        <v>147</v>
      </c>
      <c r="F171" s="7">
        <v>5.2</v>
      </c>
      <c r="G171" s="6">
        <v>769000</v>
      </c>
      <c r="H171" s="8">
        <v>0</v>
      </c>
      <c r="I171" s="8">
        <v>-0.1</v>
      </c>
      <c r="J171" s="8">
        <v>0</v>
      </c>
      <c r="K171" s="8">
        <v>0</v>
      </c>
      <c r="L171" s="8">
        <v>-0.01</v>
      </c>
      <c r="M171" s="8">
        <v>0.01</v>
      </c>
      <c r="N171" s="7">
        <v>87.7</v>
      </c>
      <c r="O171" s="7">
        <v>108.2</v>
      </c>
    </row>
    <row r="172" spans="1:15" x14ac:dyDescent="0.2">
      <c r="A172" s="4" t="s">
        <v>187</v>
      </c>
      <c r="B172" s="5">
        <v>17223</v>
      </c>
      <c r="C172" s="4" t="s">
        <v>29</v>
      </c>
      <c r="D172" s="6">
        <v>6</v>
      </c>
      <c r="E172" s="6">
        <v>29</v>
      </c>
      <c r="F172" s="7">
        <v>-3.7</v>
      </c>
      <c r="G172" s="6">
        <v>-107</v>
      </c>
      <c r="H172" s="8">
        <v>-0.1</v>
      </c>
      <c r="I172" s="8">
        <v>-0.1</v>
      </c>
      <c r="J172" s="8">
        <v>0</v>
      </c>
      <c r="K172" s="8">
        <v>-0.15</v>
      </c>
      <c r="L172" s="8">
        <v>-0.16</v>
      </c>
      <c r="M172" s="8">
        <v>0.02</v>
      </c>
      <c r="N172" s="7">
        <v>60</v>
      </c>
      <c r="O172" s="7">
        <v>106.9</v>
      </c>
    </row>
    <row r="173" spans="1:15" x14ac:dyDescent="0.2">
      <c r="A173" s="4" t="s">
        <v>188</v>
      </c>
      <c r="B173" s="5">
        <v>17214</v>
      </c>
      <c r="C173" s="4" t="s">
        <v>29</v>
      </c>
      <c r="D173" s="6">
        <v>19</v>
      </c>
      <c r="E173" s="6">
        <v>418</v>
      </c>
      <c r="F173" s="7">
        <v>6</v>
      </c>
      <c r="G173" s="6">
        <v>2527</v>
      </c>
      <c r="H173" s="8">
        <v>-0.3</v>
      </c>
      <c r="I173" s="8">
        <v>-0.3</v>
      </c>
      <c r="J173" s="8">
        <v>0</v>
      </c>
      <c r="K173" s="8">
        <v>-0.03</v>
      </c>
      <c r="L173" s="8">
        <v>-0.03</v>
      </c>
      <c r="M173" s="8">
        <v>0</v>
      </c>
      <c r="N173" s="7">
        <v>82.1</v>
      </c>
      <c r="O173" s="7">
        <v>110.3</v>
      </c>
    </row>
    <row r="174" spans="1:15" x14ac:dyDescent="0.2">
      <c r="A174" s="4" t="s">
        <v>189</v>
      </c>
      <c r="B174" s="5">
        <v>16659</v>
      </c>
      <c r="C174" s="4" t="s">
        <v>190</v>
      </c>
      <c r="D174" s="6">
        <v>14</v>
      </c>
      <c r="E174" s="6">
        <v>136</v>
      </c>
      <c r="F174" s="7">
        <v>8.4</v>
      </c>
      <c r="G174" s="6">
        <v>1137</v>
      </c>
      <c r="H174" s="8">
        <v>0.1</v>
      </c>
      <c r="I174" s="8">
        <v>0.1</v>
      </c>
      <c r="J174" s="8">
        <v>0</v>
      </c>
      <c r="K174" s="8">
        <v>0.02</v>
      </c>
      <c r="L174" s="8">
        <v>0.02</v>
      </c>
      <c r="M174" s="8">
        <v>-0.01</v>
      </c>
      <c r="N174" s="7">
        <v>98.5</v>
      </c>
      <c r="O174" s="7">
        <v>111.5</v>
      </c>
    </row>
    <row r="175" spans="1:15" x14ac:dyDescent="0.2">
      <c r="A175" s="4" t="s">
        <v>191</v>
      </c>
      <c r="B175" s="5">
        <v>16103</v>
      </c>
      <c r="C175" s="4" t="s">
        <v>29</v>
      </c>
      <c r="D175" s="6">
        <v>4</v>
      </c>
      <c r="E175" s="6">
        <v>24</v>
      </c>
      <c r="F175" s="7">
        <v>6.8</v>
      </c>
      <c r="G175" s="6">
        <v>165000</v>
      </c>
      <c r="H175" s="8">
        <v>0</v>
      </c>
      <c r="I175" s="8">
        <v>0</v>
      </c>
      <c r="J175" s="8">
        <v>0</v>
      </c>
      <c r="K175" s="8">
        <v>0.01</v>
      </c>
      <c r="L175" s="8">
        <v>-0.05</v>
      </c>
      <c r="M175" s="8">
        <v>0.06</v>
      </c>
      <c r="N175" s="7">
        <v>78.2</v>
      </c>
      <c r="O175" s="7">
        <v>98.4</v>
      </c>
    </row>
    <row r="176" spans="1:15" x14ac:dyDescent="0.2">
      <c r="A176" s="4" t="s">
        <v>149</v>
      </c>
      <c r="B176" s="5">
        <v>15548</v>
      </c>
      <c r="C176" s="4" t="s">
        <v>29</v>
      </c>
      <c r="D176" s="6">
        <v>19</v>
      </c>
      <c r="E176" s="6">
        <v>85</v>
      </c>
      <c r="F176" s="7">
        <v>7.1</v>
      </c>
      <c r="G176" s="6">
        <v>607000</v>
      </c>
      <c r="H176" s="8">
        <v>0.1</v>
      </c>
      <c r="I176" s="8">
        <v>0</v>
      </c>
      <c r="J176" s="8">
        <v>0.1</v>
      </c>
      <c r="K176" s="8">
        <v>0.06</v>
      </c>
      <c r="L176" s="8">
        <v>0.02</v>
      </c>
      <c r="M176" s="8">
        <v>0.04</v>
      </c>
      <c r="N176" s="7">
        <v>96.4</v>
      </c>
      <c r="O176" s="7">
        <v>101.5</v>
      </c>
    </row>
    <row r="177" spans="1:15" x14ac:dyDescent="0.2">
      <c r="A177" s="4" t="s">
        <v>192</v>
      </c>
      <c r="B177" s="5">
        <v>14437</v>
      </c>
      <c r="C177" s="4" t="s">
        <v>157</v>
      </c>
      <c r="D177" s="6">
        <v>4</v>
      </c>
      <c r="E177" s="6">
        <v>27</v>
      </c>
      <c r="F177" s="7">
        <v>4.8</v>
      </c>
      <c r="G177" s="6">
        <v>128000</v>
      </c>
      <c r="H177" s="8">
        <v>0</v>
      </c>
      <c r="I177" s="8">
        <v>0</v>
      </c>
      <c r="J177" s="8">
        <v>0.1</v>
      </c>
      <c r="K177" s="8">
        <v>0.02</v>
      </c>
      <c r="L177" s="8">
        <v>-7.0000000000000007E-2</v>
      </c>
      <c r="M177" s="8">
        <v>0.09</v>
      </c>
      <c r="N177" s="7">
        <v>68.3</v>
      </c>
      <c r="O177" s="7">
        <v>92.9</v>
      </c>
    </row>
    <row r="178" spans="1:15" x14ac:dyDescent="0.2">
      <c r="A178" s="4" t="s">
        <v>185</v>
      </c>
      <c r="B178" s="5">
        <v>13911</v>
      </c>
      <c r="C178" s="4" t="s">
        <v>29</v>
      </c>
      <c r="D178" s="6">
        <v>35</v>
      </c>
      <c r="E178" s="6">
        <v>616</v>
      </c>
      <c r="F178" s="7">
        <v>14</v>
      </c>
      <c r="G178" s="6">
        <v>8608</v>
      </c>
      <c r="H178" s="8">
        <v>1.6</v>
      </c>
      <c r="I178" s="8">
        <v>0.8</v>
      </c>
      <c r="J178" s="8">
        <v>0.8</v>
      </c>
      <c r="K178" s="8">
        <v>0.11</v>
      </c>
      <c r="L178" s="8">
        <v>0.05</v>
      </c>
      <c r="M178" s="8">
        <v>0.05</v>
      </c>
      <c r="N178" s="7">
        <v>104.4</v>
      </c>
      <c r="O178" s="7">
        <v>100</v>
      </c>
    </row>
    <row r="179" spans="1:15" x14ac:dyDescent="0.2">
      <c r="A179" s="4" t="s">
        <v>174</v>
      </c>
      <c r="B179" s="5">
        <v>13911</v>
      </c>
      <c r="C179" s="4" t="s">
        <v>29</v>
      </c>
      <c r="D179" s="6">
        <v>33</v>
      </c>
      <c r="E179" s="6">
        <v>380</v>
      </c>
      <c r="F179" s="7">
        <v>5</v>
      </c>
      <c r="G179" s="6">
        <v>1894</v>
      </c>
      <c r="H179" s="8">
        <v>-0.3</v>
      </c>
      <c r="I179" s="8">
        <v>-0.3</v>
      </c>
      <c r="J179" s="8">
        <v>0</v>
      </c>
      <c r="K179" s="8">
        <v>-0.03</v>
      </c>
      <c r="L179" s="8">
        <v>-0.03</v>
      </c>
      <c r="M179" s="8">
        <v>0</v>
      </c>
      <c r="N179" s="7">
        <v>82.4</v>
      </c>
      <c r="O179" s="7">
        <v>109.3</v>
      </c>
    </row>
    <row r="180" spans="1:15" x14ac:dyDescent="0.2">
      <c r="A180" s="4" t="s">
        <v>166</v>
      </c>
      <c r="B180" s="5">
        <v>13911</v>
      </c>
      <c r="C180" s="4" t="s">
        <v>29</v>
      </c>
      <c r="D180" s="6">
        <v>24</v>
      </c>
      <c r="E180" s="6">
        <v>671</v>
      </c>
      <c r="F180" s="7">
        <v>12</v>
      </c>
      <c r="G180" s="6">
        <v>8071</v>
      </c>
      <c r="H180" s="8">
        <v>1.2</v>
      </c>
      <c r="I180" s="8">
        <v>1.1000000000000001</v>
      </c>
      <c r="J180" s="8">
        <v>0.1</v>
      </c>
      <c r="K180" s="8">
        <v>7.0000000000000007E-2</v>
      </c>
      <c r="L180" s="8">
        <v>0.06</v>
      </c>
      <c r="M180" s="8">
        <v>0.01</v>
      </c>
      <c r="N180" s="7">
        <v>106.4</v>
      </c>
      <c r="O180" s="7">
        <v>109</v>
      </c>
    </row>
    <row r="181" spans="1:15" x14ac:dyDescent="0.2">
      <c r="A181" s="4" t="s">
        <v>185</v>
      </c>
      <c r="B181" s="5">
        <v>13911</v>
      </c>
      <c r="C181" s="4" t="s">
        <v>29</v>
      </c>
      <c r="D181" s="6">
        <v>35</v>
      </c>
      <c r="E181" s="6">
        <v>616</v>
      </c>
      <c r="F181" s="7">
        <v>14</v>
      </c>
      <c r="G181" s="6">
        <v>8608</v>
      </c>
      <c r="H181" s="8">
        <v>1.6</v>
      </c>
      <c r="I181" s="8">
        <v>0.8</v>
      </c>
      <c r="J181" s="8">
        <v>0.8</v>
      </c>
      <c r="K181" s="8">
        <v>0.11</v>
      </c>
      <c r="L181" s="8">
        <v>0.05</v>
      </c>
      <c r="M181" s="8">
        <v>0.05</v>
      </c>
      <c r="N181" s="7">
        <v>104.4</v>
      </c>
      <c r="O181" s="7">
        <v>100</v>
      </c>
    </row>
    <row r="182" spans="1:15" x14ac:dyDescent="0.2">
      <c r="A182" s="4" t="s">
        <v>193</v>
      </c>
      <c r="B182" s="5">
        <v>13911</v>
      </c>
      <c r="C182" s="4" t="s">
        <v>190</v>
      </c>
      <c r="D182" s="6">
        <v>15</v>
      </c>
      <c r="E182" s="6">
        <v>265</v>
      </c>
      <c r="F182" s="7">
        <v>12.3</v>
      </c>
      <c r="G182" s="6">
        <v>3248</v>
      </c>
      <c r="H182" s="8">
        <v>0.6</v>
      </c>
      <c r="I182" s="8">
        <v>0.6</v>
      </c>
      <c r="J182" s="8">
        <v>0</v>
      </c>
      <c r="K182" s="8">
        <v>0.09</v>
      </c>
      <c r="L182" s="8">
        <v>0.09</v>
      </c>
      <c r="M182" s="8">
        <v>0</v>
      </c>
      <c r="N182" s="7">
        <v>121.7</v>
      </c>
      <c r="O182" s="7">
        <v>109.5</v>
      </c>
    </row>
    <row r="183" spans="1:15" x14ac:dyDescent="0.2">
      <c r="A183" s="4" t="s">
        <v>151</v>
      </c>
      <c r="B183" s="5">
        <v>13882</v>
      </c>
      <c r="C183" s="4" t="s">
        <v>29</v>
      </c>
      <c r="D183" s="6">
        <v>26</v>
      </c>
      <c r="E183" s="6">
        <v>261</v>
      </c>
      <c r="F183" s="7">
        <v>5.8</v>
      </c>
      <c r="G183" s="6">
        <v>1524</v>
      </c>
      <c r="H183" s="8">
        <v>-0.1</v>
      </c>
      <c r="I183" s="8">
        <v>-0.3</v>
      </c>
      <c r="J183" s="8">
        <v>0.2</v>
      </c>
      <c r="K183" s="8">
        <v>-0.01</v>
      </c>
      <c r="L183" s="8">
        <v>-0.04</v>
      </c>
      <c r="M183" s="8">
        <v>0.03</v>
      </c>
      <c r="N183" s="7">
        <v>83.2</v>
      </c>
      <c r="O183" s="7">
        <v>103.3</v>
      </c>
    </row>
    <row r="184" spans="1:15" x14ac:dyDescent="0.2">
      <c r="A184" s="4" t="s">
        <v>194</v>
      </c>
      <c r="B184" s="5">
        <v>12772</v>
      </c>
      <c r="C184" s="4" t="s">
        <v>29</v>
      </c>
      <c r="D184" s="6">
        <v>4</v>
      </c>
      <c r="E184" s="6">
        <v>17</v>
      </c>
      <c r="F184" s="7">
        <v>-15</v>
      </c>
      <c r="G184" s="6">
        <v>-261</v>
      </c>
      <c r="H184" s="8">
        <v>-0.1</v>
      </c>
      <c r="I184" s="8">
        <v>-0.1</v>
      </c>
      <c r="J184" s="8">
        <v>0</v>
      </c>
      <c r="K184" s="8">
        <v>-0.24</v>
      </c>
      <c r="L184" s="8">
        <v>-0.33</v>
      </c>
      <c r="M184" s="8">
        <v>0.09</v>
      </c>
      <c r="N184" s="7">
        <v>33.700000000000003</v>
      </c>
      <c r="O184" s="7">
        <v>92.2</v>
      </c>
    </row>
    <row r="185" spans="1:15" x14ac:dyDescent="0.2">
      <c r="A185" s="4" t="s">
        <v>195</v>
      </c>
      <c r="B185" s="5">
        <v>12772</v>
      </c>
      <c r="C185" s="4" t="s">
        <v>29</v>
      </c>
      <c r="D185" s="6">
        <v>11</v>
      </c>
      <c r="E185" s="6">
        <v>107</v>
      </c>
      <c r="F185" s="7">
        <v>12.1</v>
      </c>
      <c r="G185" s="6">
        <v>1293</v>
      </c>
      <c r="H185" s="8">
        <v>0.1</v>
      </c>
      <c r="I185" s="8">
        <v>0.1</v>
      </c>
      <c r="J185" s="8">
        <v>0.1</v>
      </c>
      <c r="K185" s="8">
        <v>0.05</v>
      </c>
      <c r="L185" s="8">
        <v>0.03</v>
      </c>
      <c r="M185" s="8">
        <v>0.02</v>
      </c>
      <c r="N185" s="7">
        <v>98.6</v>
      </c>
      <c r="O185" s="7">
        <v>105.7</v>
      </c>
    </row>
    <row r="186" spans="1:15" x14ac:dyDescent="0.2">
      <c r="A186" s="4" t="s">
        <v>196</v>
      </c>
      <c r="B186" s="5">
        <v>12216</v>
      </c>
      <c r="C186" s="4" t="s">
        <v>29</v>
      </c>
      <c r="D186" s="6">
        <v>3</v>
      </c>
      <c r="E186" s="6">
        <v>11</v>
      </c>
      <c r="F186" s="7">
        <v>-18</v>
      </c>
      <c r="G186" s="6">
        <v>-192</v>
      </c>
      <c r="H186" s="8">
        <v>-0.1</v>
      </c>
      <c r="I186" s="8">
        <v>-0.1</v>
      </c>
      <c r="J186" s="8">
        <v>0</v>
      </c>
      <c r="K186" s="8">
        <v>-0.27</v>
      </c>
      <c r="L186" s="8">
        <v>-0.4</v>
      </c>
      <c r="M186" s="8">
        <v>0.14000000000000001</v>
      </c>
      <c r="N186" s="7">
        <v>14.9</v>
      </c>
      <c r="O186" s="7">
        <v>83.2</v>
      </c>
    </row>
    <row r="187" spans="1:15" x14ac:dyDescent="0.2">
      <c r="A187" s="4" t="s">
        <v>197</v>
      </c>
      <c r="B187" s="5">
        <v>11924</v>
      </c>
      <c r="C187" s="4" t="s">
        <v>29</v>
      </c>
      <c r="D187" s="6">
        <v>10</v>
      </c>
      <c r="E187" s="6">
        <v>167</v>
      </c>
      <c r="F187" s="7">
        <v>16.399999999999999</v>
      </c>
      <c r="G187" s="6">
        <v>2736</v>
      </c>
      <c r="H187" s="8">
        <v>0.6</v>
      </c>
      <c r="I187" s="8">
        <v>0.3</v>
      </c>
      <c r="J187" s="8">
        <v>0.3</v>
      </c>
      <c r="K187" s="8">
        <v>0.15</v>
      </c>
      <c r="L187" s="8">
        <v>7.0000000000000007E-2</v>
      </c>
      <c r="M187" s="8">
        <v>0.08</v>
      </c>
      <c r="N187" s="7">
        <v>104.7</v>
      </c>
      <c r="O187" s="7">
        <v>94.6</v>
      </c>
    </row>
    <row r="188" spans="1:15" x14ac:dyDescent="0.2">
      <c r="A188" s="4" t="s">
        <v>198</v>
      </c>
      <c r="B188" s="5">
        <v>11661</v>
      </c>
      <c r="C188" s="4" t="s">
        <v>29</v>
      </c>
      <c r="D188" s="6">
        <v>6</v>
      </c>
      <c r="E188" s="6">
        <v>23</v>
      </c>
      <c r="F188" s="7">
        <v>-9.4</v>
      </c>
      <c r="G188" s="6">
        <v>-213</v>
      </c>
      <c r="H188" s="8">
        <v>-0.1</v>
      </c>
      <c r="I188" s="8">
        <v>-0.1</v>
      </c>
      <c r="J188" s="8">
        <v>0</v>
      </c>
      <c r="K188" s="8">
        <v>-0.24</v>
      </c>
      <c r="L188" s="8">
        <v>-0.26</v>
      </c>
      <c r="M188" s="8">
        <v>0.02</v>
      </c>
      <c r="N188" s="7">
        <v>45.7</v>
      </c>
      <c r="O188" s="7">
        <v>106.2</v>
      </c>
    </row>
    <row r="189" spans="1:15" x14ac:dyDescent="0.2">
      <c r="A189" s="4" t="s">
        <v>186</v>
      </c>
      <c r="B189" s="5">
        <v>11661</v>
      </c>
      <c r="C189" s="4" t="s">
        <v>29</v>
      </c>
      <c r="D189" s="6">
        <v>18</v>
      </c>
      <c r="E189" s="6">
        <v>147</v>
      </c>
      <c r="F189" s="7">
        <v>5.2</v>
      </c>
      <c r="G189" s="6">
        <v>769000</v>
      </c>
      <c r="H189" s="8">
        <v>0</v>
      </c>
      <c r="I189" s="8">
        <v>-0.1</v>
      </c>
      <c r="J189" s="8">
        <v>0</v>
      </c>
      <c r="K189" s="8">
        <v>0</v>
      </c>
      <c r="L189" s="8">
        <v>-0.01</v>
      </c>
      <c r="M189" s="8">
        <v>0.01</v>
      </c>
      <c r="N189" s="7">
        <v>87.7</v>
      </c>
      <c r="O189" s="7">
        <v>108.2</v>
      </c>
    </row>
    <row r="190" spans="1:15" x14ac:dyDescent="0.2">
      <c r="A190" s="4" t="s">
        <v>199</v>
      </c>
      <c r="B190" s="5">
        <v>11661</v>
      </c>
      <c r="C190" s="4" t="s">
        <v>29</v>
      </c>
      <c r="D190" s="6">
        <v>9</v>
      </c>
      <c r="E190" s="6">
        <v>47</v>
      </c>
      <c r="F190" s="7">
        <v>8.5</v>
      </c>
      <c r="G190" s="6">
        <v>397000</v>
      </c>
      <c r="H190" s="8">
        <v>0.1</v>
      </c>
      <c r="I190" s="8">
        <v>0.1</v>
      </c>
      <c r="J190" s="8">
        <v>0</v>
      </c>
      <c r="K190" s="8">
        <v>0.06</v>
      </c>
      <c r="L190" s="8">
        <v>0.06</v>
      </c>
      <c r="M190" s="8">
        <v>0</v>
      </c>
      <c r="N190" s="7">
        <v>110.2</v>
      </c>
      <c r="O190" s="7">
        <v>110.7</v>
      </c>
    </row>
    <row r="191" spans="1:15" x14ac:dyDescent="0.2">
      <c r="A191" s="4" t="s">
        <v>195</v>
      </c>
      <c r="B191" s="5">
        <v>11661</v>
      </c>
      <c r="C191" s="4" t="s">
        <v>29</v>
      </c>
      <c r="D191" s="6">
        <v>11</v>
      </c>
      <c r="E191" s="6">
        <v>107</v>
      </c>
      <c r="F191" s="7">
        <v>12.1</v>
      </c>
      <c r="G191" s="6">
        <v>1293</v>
      </c>
      <c r="H191" s="8">
        <v>0.1</v>
      </c>
      <c r="I191" s="8">
        <v>0.1</v>
      </c>
      <c r="J191" s="8">
        <v>0.1</v>
      </c>
      <c r="K191" s="8">
        <v>0.05</v>
      </c>
      <c r="L191" s="8">
        <v>0.03</v>
      </c>
      <c r="M191" s="8">
        <v>0.02</v>
      </c>
      <c r="N191" s="7">
        <v>98.6</v>
      </c>
      <c r="O191" s="7">
        <v>105.7</v>
      </c>
    </row>
    <row r="192" spans="1:15" x14ac:dyDescent="0.2">
      <c r="A192" s="4" t="s">
        <v>175</v>
      </c>
      <c r="B192" s="5">
        <v>11661</v>
      </c>
      <c r="C192" s="4" t="s">
        <v>29</v>
      </c>
      <c r="D192" s="6">
        <v>19</v>
      </c>
      <c r="E192" s="6">
        <v>99</v>
      </c>
      <c r="F192" s="7">
        <v>12.5</v>
      </c>
      <c r="G192" s="6">
        <v>1232</v>
      </c>
      <c r="H192" s="8">
        <v>0.2</v>
      </c>
      <c r="I192" s="8">
        <v>0.2</v>
      </c>
      <c r="J192" s="8">
        <v>0.1</v>
      </c>
      <c r="K192" s="8">
        <v>0.1</v>
      </c>
      <c r="L192" s="8">
        <v>7.0000000000000007E-2</v>
      </c>
      <c r="M192" s="8">
        <v>0.03</v>
      </c>
      <c r="N192" s="7">
        <v>106.3</v>
      </c>
      <c r="O192" s="7">
        <v>103.2</v>
      </c>
    </row>
    <row r="193" spans="1:15" x14ac:dyDescent="0.2">
      <c r="A193" s="4" t="s">
        <v>188</v>
      </c>
      <c r="B193" s="5">
        <v>11661</v>
      </c>
      <c r="C193" s="4" t="s">
        <v>190</v>
      </c>
      <c r="D193" s="6">
        <v>19</v>
      </c>
      <c r="E193" s="6">
        <v>418</v>
      </c>
      <c r="F193" s="7">
        <v>6</v>
      </c>
      <c r="G193" s="6">
        <v>2527</v>
      </c>
      <c r="H193" s="8">
        <v>-0.3</v>
      </c>
      <c r="I193" s="8">
        <v>-0.3</v>
      </c>
      <c r="J193" s="8">
        <v>0</v>
      </c>
      <c r="K193" s="8">
        <v>-0.03</v>
      </c>
      <c r="L193" s="8">
        <v>-0.03</v>
      </c>
      <c r="M193" s="8">
        <v>0</v>
      </c>
      <c r="N193" s="7">
        <v>82.1</v>
      </c>
      <c r="O193" s="7">
        <v>110.3</v>
      </c>
    </row>
    <row r="194" spans="1:15" x14ac:dyDescent="0.2">
      <c r="A194" s="4" t="s">
        <v>200</v>
      </c>
      <c r="B194" s="5">
        <v>11106</v>
      </c>
      <c r="C194" s="4" t="s">
        <v>29</v>
      </c>
      <c r="D194" s="6">
        <v>6</v>
      </c>
      <c r="E194" s="6">
        <v>63</v>
      </c>
      <c r="F194" s="7">
        <v>1</v>
      </c>
      <c r="G194" s="6">
        <v>65000</v>
      </c>
      <c r="H194" s="8">
        <v>-0.1</v>
      </c>
      <c r="I194" s="8">
        <v>-0.1</v>
      </c>
      <c r="J194" s="8">
        <v>0</v>
      </c>
      <c r="K194" s="8">
        <v>-0.05</v>
      </c>
      <c r="L194" s="8">
        <v>-0.04</v>
      </c>
      <c r="M194" s="8">
        <v>-0.01</v>
      </c>
      <c r="N194" s="7">
        <v>58.2</v>
      </c>
      <c r="O194" s="7">
        <v>112.5</v>
      </c>
    </row>
    <row r="195" spans="1:15" x14ac:dyDescent="0.2">
      <c r="A195" s="4" t="s">
        <v>183</v>
      </c>
      <c r="B195" s="5">
        <v>11106</v>
      </c>
      <c r="C195" s="4" t="s">
        <v>54</v>
      </c>
      <c r="D195" s="6">
        <v>25</v>
      </c>
      <c r="E195" s="6">
        <v>440</v>
      </c>
      <c r="F195" s="7">
        <v>2.9</v>
      </c>
      <c r="G195" s="6">
        <v>1284</v>
      </c>
      <c r="H195" s="8">
        <v>-0.7</v>
      </c>
      <c r="I195" s="8">
        <v>-0.8</v>
      </c>
      <c r="J195" s="8">
        <v>0.1</v>
      </c>
      <c r="K195" s="8">
        <v>-0.06</v>
      </c>
      <c r="L195" s="8">
        <v>-7.0000000000000007E-2</v>
      </c>
      <c r="M195" s="8">
        <v>0.01</v>
      </c>
      <c r="N195" s="7">
        <v>73.5</v>
      </c>
      <c r="O195" s="7">
        <v>107.8</v>
      </c>
    </row>
    <row r="196" spans="1:15" x14ac:dyDescent="0.2">
      <c r="A196" s="4" t="s">
        <v>175</v>
      </c>
      <c r="B196" s="5">
        <v>10550</v>
      </c>
      <c r="C196" s="4" t="s">
        <v>29</v>
      </c>
      <c r="D196" s="6">
        <v>19</v>
      </c>
      <c r="E196" s="6">
        <v>99</v>
      </c>
      <c r="F196" s="7">
        <v>12.5</v>
      </c>
      <c r="G196" s="6">
        <v>1232</v>
      </c>
      <c r="H196" s="8">
        <v>0.2</v>
      </c>
      <c r="I196" s="8">
        <v>0.2</v>
      </c>
      <c r="J196" s="8">
        <v>0.1</v>
      </c>
      <c r="K196" s="8">
        <v>0.1</v>
      </c>
      <c r="L196" s="8">
        <v>7.0000000000000007E-2</v>
      </c>
      <c r="M196" s="8">
        <v>0.03</v>
      </c>
      <c r="N196" s="7">
        <v>106.3</v>
      </c>
      <c r="O196" s="7">
        <v>103.2</v>
      </c>
    </row>
    <row r="197" spans="1:15" x14ac:dyDescent="0.2">
      <c r="A197" s="4" t="s">
        <v>184</v>
      </c>
      <c r="B197" s="5">
        <v>9995</v>
      </c>
      <c r="C197" s="4" t="s">
        <v>29</v>
      </c>
      <c r="D197" s="6">
        <v>14</v>
      </c>
      <c r="E197" s="6">
        <v>154</v>
      </c>
      <c r="F197" s="7">
        <v>14.8</v>
      </c>
      <c r="G197" s="6">
        <v>2279</v>
      </c>
      <c r="H197" s="8">
        <v>0.5</v>
      </c>
      <c r="I197" s="8">
        <v>0.3</v>
      </c>
      <c r="J197" s="8">
        <v>0.2</v>
      </c>
      <c r="K197" s="8">
        <v>0.13</v>
      </c>
      <c r="L197" s="8">
        <v>0.08</v>
      </c>
      <c r="M197" s="8">
        <v>0.05</v>
      </c>
      <c r="N197" s="7">
        <v>109.7</v>
      </c>
      <c r="O197" s="7">
        <v>99.2</v>
      </c>
    </row>
    <row r="198" spans="1:15" x14ac:dyDescent="0.2">
      <c r="A198" s="4" t="s">
        <v>195</v>
      </c>
      <c r="B198" s="5">
        <v>9440</v>
      </c>
      <c r="C198" s="4" t="s">
        <v>29</v>
      </c>
      <c r="D198" s="6">
        <v>11</v>
      </c>
      <c r="E198" s="6">
        <v>107</v>
      </c>
      <c r="F198" s="7">
        <v>12.1</v>
      </c>
      <c r="G198" s="6">
        <v>1293</v>
      </c>
      <c r="H198" s="8">
        <v>0.1</v>
      </c>
      <c r="I198" s="8">
        <v>0.1</v>
      </c>
      <c r="J198" s="8">
        <v>0.1</v>
      </c>
      <c r="K198" s="8">
        <v>0.05</v>
      </c>
      <c r="L198" s="8">
        <v>0.03</v>
      </c>
      <c r="M198" s="8">
        <v>0.02</v>
      </c>
      <c r="N198" s="7">
        <v>98.6</v>
      </c>
      <c r="O198" s="7">
        <v>105.7</v>
      </c>
    </row>
    <row r="199" spans="1:15" x14ac:dyDescent="0.2">
      <c r="A199" s="4" t="s">
        <v>193</v>
      </c>
      <c r="B199" s="5">
        <v>9440</v>
      </c>
      <c r="C199" s="4" t="s">
        <v>190</v>
      </c>
      <c r="D199" s="6">
        <v>15</v>
      </c>
      <c r="E199" s="6">
        <v>265</v>
      </c>
      <c r="F199" s="7">
        <v>12.3</v>
      </c>
      <c r="G199" s="6">
        <v>3248</v>
      </c>
      <c r="H199" s="8">
        <v>0.6</v>
      </c>
      <c r="I199" s="8">
        <v>0.6</v>
      </c>
      <c r="J199" s="8">
        <v>0</v>
      </c>
      <c r="K199" s="8">
        <v>0.09</v>
      </c>
      <c r="L199" s="8">
        <v>0.09</v>
      </c>
      <c r="M199" s="8">
        <v>0</v>
      </c>
      <c r="N199" s="7">
        <v>121.7</v>
      </c>
      <c r="O199" s="7">
        <v>109.5</v>
      </c>
    </row>
    <row r="200" spans="1:15" x14ac:dyDescent="0.2">
      <c r="A200" s="4" t="s">
        <v>197</v>
      </c>
      <c r="B200" s="5">
        <v>9274</v>
      </c>
      <c r="C200" s="4" t="s">
        <v>190</v>
      </c>
      <c r="D200" s="6">
        <v>10</v>
      </c>
      <c r="E200" s="6">
        <v>167</v>
      </c>
      <c r="F200" s="7">
        <v>16.399999999999999</v>
      </c>
      <c r="G200" s="6">
        <v>2736</v>
      </c>
      <c r="H200" s="8">
        <v>0.6</v>
      </c>
      <c r="I200" s="8">
        <v>0.3</v>
      </c>
      <c r="J200" s="8">
        <v>0.3</v>
      </c>
      <c r="K200" s="8">
        <v>0.15</v>
      </c>
      <c r="L200" s="8">
        <v>7.0000000000000007E-2</v>
      </c>
      <c r="M200" s="8">
        <v>0.08</v>
      </c>
      <c r="N200" s="7">
        <v>104.7</v>
      </c>
      <c r="O200" s="7">
        <v>94.6</v>
      </c>
    </row>
    <row r="201" spans="1:15" x14ac:dyDescent="0.2">
      <c r="A201" s="4" t="s">
        <v>198</v>
      </c>
      <c r="B201" s="5">
        <v>7949</v>
      </c>
      <c r="C201" s="4" t="s">
        <v>29</v>
      </c>
      <c r="D201" s="6">
        <v>6</v>
      </c>
      <c r="E201" s="6">
        <v>23</v>
      </c>
      <c r="F201" s="7">
        <v>-9.4</v>
      </c>
      <c r="G201" s="6">
        <v>-213</v>
      </c>
      <c r="H201" s="8">
        <v>-0.1</v>
      </c>
      <c r="I201" s="8">
        <v>-0.1</v>
      </c>
      <c r="J201" s="8">
        <v>0</v>
      </c>
      <c r="K201" s="8">
        <v>-0.24</v>
      </c>
      <c r="L201" s="8">
        <v>-0.26</v>
      </c>
      <c r="M201" s="8">
        <v>0.02</v>
      </c>
      <c r="N201" s="7">
        <v>45.7</v>
      </c>
      <c r="O201" s="7">
        <v>106.2</v>
      </c>
    </row>
    <row r="202" spans="1:15" x14ac:dyDescent="0.2">
      <c r="A202" s="4" t="s">
        <v>166</v>
      </c>
      <c r="B202" s="5">
        <v>7949</v>
      </c>
      <c r="C202" s="4" t="s">
        <v>29</v>
      </c>
      <c r="D202" s="6">
        <v>24</v>
      </c>
      <c r="E202" s="6">
        <v>671</v>
      </c>
      <c r="F202" s="7">
        <v>12</v>
      </c>
      <c r="G202" s="6">
        <v>8071</v>
      </c>
      <c r="H202" s="8">
        <v>1.2</v>
      </c>
      <c r="I202" s="8">
        <v>1.1000000000000001</v>
      </c>
      <c r="J202" s="8">
        <v>0.1</v>
      </c>
      <c r="K202" s="8">
        <v>7.0000000000000007E-2</v>
      </c>
      <c r="L202" s="8">
        <v>0.06</v>
      </c>
      <c r="M202" s="8">
        <v>0.01</v>
      </c>
      <c r="N202" s="7">
        <v>106.4</v>
      </c>
      <c r="O202" s="7">
        <v>109</v>
      </c>
    </row>
    <row r="203" spans="1:15" x14ac:dyDescent="0.2">
      <c r="A203" s="4" t="s">
        <v>99</v>
      </c>
      <c r="B203" s="5">
        <v>7774</v>
      </c>
      <c r="C203" s="4" t="s">
        <v>29</v>
      </c>
      <c r="D203" s="6">
        <v>1</v>
      </c>
      <c r="E203" s="6">
        <v>12</v>
      </c>
      <c r="F203" s="7">
        <v>1.1000000000000001</v>
      </c>
      <c r="G203" s="6">
        <v>13000</v>
      </c>
      <c r="H203" s="8">
        <v>0</v>
      </c>
      <c r="I203" s="8">
        <v>0</v>
      </c>
      <c r="J203" s="8">
        <v>0</v>
      </c>
      <c r="K203" s="8">
        <v>0.01</v>
      </c>
      <c r="L203" s="8">
        <v>-0.11</v>
      </c>
      <c r="M203" s="8">
        <v>0.12</v>
      </c>
      <c r="N203" s="7">
        <v>50.2</v>
      </c>
      <c r="O203" s="7">
        <v>86.5</v>
      </c>
    </row>
    <row r="204" spans="1:15" x14ac:dyDescent="0.2">
      <c r="A204" s="4" t="s">
        <v>201</v>
      </c>
      <c r="B204" s="5">
        <v>7774</v>
      </c>
      <c r="C204" s="4" t="s">
        <v>29</v>
      </c>
      <c r="D204" s="6">
        <v>3</v>
      </c>
      <c r="E204" s="6">
        <v>3000</v>
      </c>
      <c r="F204" s="7">
        <v>0</v>
      </c>
      <c r="G204" s="6">
        <v>0</v>
      </c>
      <c r="H204" s="8">
        <v>0</v>
      </c>
      <c r="I204" s="8">
        <v>0</v>
      </c>
      <c r="J204" s="8">
        <v>0</v>
      </c>
      <c r="K204" s="8">
        <v>0.05</v>
      </c>
      <c r="L204" s="8">
        <v>0</v>
      </c>
      <c r="M204" s="8">
        <v>0.05</v>
      </c>
      <c r="N204" s="7"/>
      <c r="O204" s="7">
        <v>100.7</v>
      </c>
    </row>
    <row r="205" spans="1:15" x14ac:dyDescent="0.2">
      <c r="A205" s="4" t="s">
        <v>202</v>
      </c>
      <c r="B205" s="5">
        <v>7774</v>
      </c>
      <c r="C205" s="4" t="s">
        <v>29</v>
      </c>
      <c r="D205" s="6">
        <v>8</v>
      </c>
      <c r="E205" s="6">
        <v>157</v>
      </c>
      <c r="F205" s="7">
        <v>21.9</v>
      </c>
      <c r="G205" s="6">
        <v>3429</v>
      </c>
      <c r="H205" s="8">
        <v>0.5</v>
      </c>
      <c r="I205" s="8">
        <v>0.5</v>
      </c>
      <c r="J205" s="8">
        <v>0</v>
      </c>
      <c r="K205" s="8">
        <v>0.14000000000000001</v>
      </c>
      <c r="L205" s="8">
        <v>0.14000000000000001</v>
      </c>
      <c r="M205" s="8">
        <v>0</v>
      </c>
      <c r="N205" s="7">
        <v>120.6</v>
      </c>
      <c r="O205" s="7">
        <v>110.1</v>
      </c>
    </row>
    <row r="206" spans="1:15" x14ac:dyDescent="0.2">
      <c r="A206" s="4" t="s">
        <v>185</v>
      </c>
      <c r="B206" s="5">
        <v>6956</v>
      </c>
      <c r="C206" s="4" t="s">
        <v>190</v>
      </c>
      <c r="D206" s="6">
        <v>35</v>
      </c>
      <c r="E206" s="6">
        <v>616</v>
      </c>
      <c r="F206" s="7">
        <v>14</v>
      </c>
      <c r="G206" s="6">
        <v>8608</v>
      </c>
      <c r="H206" s="8">
        <v>1.6</v>
      </c>
      <c r="I206" s="8">
        <v>0.8</v>
      </c>
      <c r="J206" s="8">
        <v>0.8</v>
      </c>
      <c r="K206" s="8">
        <v>0.11</v>
      </c>
      <c r="L206" s="8">
        <v>0.05</v>
      </c>
      <c r="M206" s="8">
        <v>0.05</v>
      </c>
      <c r="N206" s="7">
        <v>104.4</v>
      </c>
      <c r="O206" s="7">
        <v>100</v>
      </c>
    </row>
    <row r="207" spans="1:15" x14ac:dyDescent="0.2">
      <c r="A207" s="4" t="s">
        <v>203</v>
      </c>
      <c r="B207" s="5">
        <v>6802</v>
      </c>
      <c r="C207" s="4" t="s">
        <v>190</v>
      </c>
      <c r="D207" s="6">
        <v>4</v>
      </c>
      <c r="E207" s="6">
        <v>45</v>
      </c>
      <c r="F207" s="7">
        <v>9</v>
      </c>
      <c r="G207" s="6">
        <v>400000</v>
      </c>
      <c r="H207" s="8">
        <v>0</v>
      </c>
      <c r="I207" s="8">
        <v>0.1</v>
      </c>
      <c r="J207" s="8">
        <v>0</v>
      </c>
      <c r="K207" s="8">
        <v>0.01</v>
      </c>
      <c r="L207" s="8">
        <v>0.05</v>
      </c>
      <c r="M207" s="8">
        <v>-0.04</v>
      </c>
      <c r="N207" s="7">
        <v>102.3</v>
      </c>
      <c r="O207" s="7">
        <v>118.2</v>
      </c>
    </row>
    <row r="208" spans="1:15" x14ac:dyDescent="0.2">
      <c r="A208" s="4" t="s">
        <v>169</v>
      </c>
      <c r="B208" s="5">
        <v>6459</v>
      </c>
      <c r="C208" s="4" t="s">
        <v>190</v>
      </c>
      <c r="D208" s="6">
        <v>20</v>
      </c>
      <c r="E208" s="6">
        <v>525</v>
      </c>
      <c r="F208" s="7">
        <v>14.1</v>
      </c>
      <c r="G208" s="6">
        <v>7383</v>
      </c>
      <c r="H208" s="8">
        <v>1.4</v>
      </c>
      <c r="I208" s="8">
        <v>0.9</v>
      </c>
      <c r="J208" s="8">
        <v>0.5</v>
      </c>
      <c r="K208" s="8">
        <v>0.11</v>
      </c>
      <c r="L208" s="8">
        <v>7.0000000000000007E-2</v>
      </c>
      <c r="M208" s="8">
        <v>0.04</v>
      </c>
      <c r="N208" s="7">
        <v>105.8</v>
      </c>
      <c r="O208" s="7">
        <v>102.8</v>
      </c>
    </row>
    <row r="209" spans="1:15" x14ac:dyDescent="0.2">
      <c r="A209" s="4" t="s">
        <v>177</v>
      </c>
      <c r="B209" s="5">
        <v>5553</v>
      </c>
      <c r="C209" s="4" t="s">
        <v>190</v>
      </c>
      <c r="D209" s="6">
        <v>28</v>
      </c>
      <c r="E209" s="6">
        <v>594</v>
      </c>
      <c r="F209" s="7">
        <v>11.4</v>
      </c>
      <c r="G209" s="6">
        <v>6789</v>
      </c>
      <c r="H209" s="8">
        <v>0.4</v>
      </c>
      <c r="I209" s="8">
        <v>0</v>
      </c>
      <c r="J209" s="8">
        <v>0.3</v>
      </c>
      <c r="K209" s="8">
        <v>0.03</v>
      </c>
      <c r="L209" s="8">
        <v>0</v>
      </c>
      <c r="M209" s="8">
        <v>0.02</v>
      </c>
      <c r="N209" s="7">
        <v>92.6</v>
      </c>
      <c r="O209" s="7">
        <v>105.6</v>
      </c>
    </row>
    <row r="210" spans="1:15" x14ac:dyDescent="0.2">
      <c r="A210" s="4" t="s">
        <v>204</v>
      </c>
      <c r="B210" s="5">
        <v>5136</v>
      </c>
      <c r="C210" s="4" t="s">
        <v>29</v>
      </c>
      <c r="D210" s="6">
        <v>3</v>
      </c>
      <c r="E210" s="6">
        <v>22</v>
      </c>
      <c r="F210" s="7">
        <v>-9.1</v>
      </c>
      <c r="G210" s="6">
        <v>-198</v>
      </c>
      <c r="H210" s="8">
        <v>-0.1</v>
      </c>
      <c r="I210" s="8">
        <v>-0.1</v>
      </c>
      <c r="J210" s="8">
        <v>0</v>
      </c>
      <c r="K210" s="8">
        <v>-0.22</v>
      </c>
      <c r="L210" s="8">
        <v>-0.14000000000000001</v>
      </c>
      <c r="M210" s="8">
        <v>-0.08</v>
      </c>
      <c r="N210" s="7">
        <v>0</v>
      </c>
      <c r="O210" s="7">
        <v>125.5</v>
      </c>
    </row>
    <row r="211" spans="1:15" x14ac:dyDescent="0.2">
      <c r="A211" s="4" t="s">
        <v>189</v>
      </c>
      <c r="B211" s="5">
        <v>4998</v>
      </c>
      <c r="C211" s="4" t="s">
        <v>29</v>
      </c>
      <c r="D211" s="6">
        <v>14</v>
      </c>
      <c r="E211" s="6">
        <v>136</v>
      </c>
      <c r="F211" s="7">
        <v>8.4</v>
      </c>
      <c r="G211" s="6">
        <v>1137</v>
      </c>
      <c r="H211" s="8">
        <v>0.1</v>
      </c>
      <c r="I211" s="8">
        <v>0.1</v>
      </c>
      <c r="J211" s="8">
        <v>0</v>
      </c>
      <c r="K211" s="8">
        <v>0.02</v>
      </c>
      <c r="L211" s="8">
        <v>0.02</v>
      </c>
      <c r="M211" s="8">
        <v>-0.01</v>
      </c>
      <c r="N211" s="7">
        <v>98.5</v>
      </c>
      <c r="O211" s="7">
        <v>111.5</v>
      </c>
    </row>
    <row r="212" spans="1:15" x14ac:dyDescent="0.2">
      <c r="A212" s="4" t="s">
        <v>177</v>
      </c>
      <c r="B212" s="5">
        <v>4998</v>
      </c>
      <c r="C212" s="4" t="s">
        <v>190</v>
      </c>
      <c r="D212" s="6">
        <v>28</v>
      </c>
      <c r="E212" s="6">
        <v>594</v>
      </c>
      <c r="F212" s="7">
        <v>11.4</v>
      </c>
      <c r="G212" s="6">
        <v>6789</v>
      </c>
      <c r="H212" s="8">
        <v>0.4</v>
      </c>
      <c r="I212" s="8">
        <v>0</v>
      </c>
      <c r="J212" s="8">
        <v>0.3</v>
      </c>
      <c r="K212" s="8">
        <v>0.03</v>
      </c>
      <c r="L212" s="8">
        <v>0</v>
      </c>
      <c r="M212" s="8">
        <v>0.02</v>
      </c>
      <c r="N212" s="7">
        <v>92.6</v>
      </c>
      <c r="O212" s="7">
        <v>105.6</v>
      </c>
    </row>
    <row r="213" spans="1:15" x14ac:dyDescent="0.2">
      <c r="A213" s="4" t="s">
        <v>199</v>
      </c>
      <c r="B213" s="5">
        <v>4442</v>
      </c>
      <c r="C213" s="4" t="s">
        <v>29</v>
      </c>
      <c r="D213" s="6">
        <v>9</v>
      </c>
      <c r="E213" s="6">
        <v>47</v>
      </c>
      <c r="F213" s="7">
        <v>8.5</v>
      </c>
      <c r="G213" s="6">
        <v>397000</v>
      </c>
      <c r="H213" s="8">
        <v>0.1</v>
      </c>
      <c r="I213" s="8">
        <v>0.1</v>
      </c>
      <c r="J213" s="8">
        <v>0</v>
      </c>
      <c r="K213" s="8">
        <v>0.06</v>
      </c>
      <c r="L213" s="8">
        <v>0.06</v>
      </c>
      <c r="M213" s="8">
        <v>0</v>
      </c>
      <c r="N213" s="7">
        <v>110.2</v>
      </c>
      <c r="O213" s="7">
        <v>110.7</v>
      </c>
    </row>
    <row r="214" spans="1:15" x14ac:dyDescent="0.2">
      <c r="A214" s="4" t="s">
        <v>194</v>
      </c>
      <c r="B214" s="5">
        <v>4442</v>
      </c>
      <c r="C214" s="4" t="s">
        <v>29</v>
      </c>
      <c r="D214" s="6">
        <v>4</v>
      </c>
      <c r="E214" s="6">
        <v>17</v>
      </c>
      <c r="F214" s="7">
        <v>-15</v>
      </c>
      <c r="G214" s="6">
        <v>-261</v>
      </c>
      <c r="H214" s="8">
        <v>-0.1</v>
      </c>
      <c r="I214" s="8">
        <v>-0.1</v>
      </c>
      <c r="J214" s="8">
        <v>0</v>
      </c>
      <c r="K214" s="8">
        <v>-0.24</v>
      </c>
      <c r="L214" s="8">
        <v>-0.33</v>
      </c>
      <c r="M214" s="8">
        <v>0.09</v>
      </c>
      <c r="N214" s="7">
        <v>33.700000000000003</v>
      </c>
      <c r="O214" s="7">
        <v>92.2</v>
      </c>
    </row>
    <row r="215" spans="1:15" x14ac:dyDescent="0.2">
      <c r="A215" s="4" t="s">
        <v>205</v>
      </c>
      <c r="B215" s="5">
        <v>3975</v>
      </c>
      <c r="C215" s="4" t="s">
        <v>29</v>
      </c>
      <c r="D215" s="6">
        <v>1</v>
      </c>
      <c r="E215" s="6">
        <v>22</v>
      </c>
      <c r="F215" s="7">
        <v>-1.4</v>
      </c>
      <c r="G215" s="6">
        <v>-30</v>
      </c>
      <c r="H215" s="8">
        <v>0</v>
      </c>
      <c r="I215" s="8">
        <v>-0.1</v>
      </c>
      <c r="J215" s="8">
        <v>0.1</v>
      </c>
      <c r="K215" s="8">
        <v>0</v>
      </c>
      <c r="L215" s="8">
        <v>-0.17</v>
      </c>
      <c r="M215" s="8">
        <v>0.17</v>
      </c>
      <c r="N215" s="7">
        <v>40.5</v>
      </c>
      <c r="O215" s="7">
        <v>76.099999999999994</v>
      </c>
    </row>
    <row r="216" spans="1:15" x14ac:dyDescent="0.2">
      <c r="A216" s="4" t="s">
        <v>197</v>
      </c>
      <c r="B216" s="5">
        <v>3975</v>
      </c>
      <c r="C216" s="4" t="s">
        <v>190</v>
      </c>
      <c r="D216" s="6">
        <v>10</v>
      </c>
      <c r="E216" s="6">
        <v>167</v>
      </c>
      <c r="F216" s="7">
        <v>16.399999999999999</v>
      </c>
      <c r="G216" s="6">
        <v>2736</v>
      </c>
      <c r="H216" s="8">
        <v>0.6</v>
      </c>
      <c r="I216" s="8">
        <v>0.3</v>
      </c>
      <c r="J216" s="8">
        <v>0.3</v>
      </c>
      <c r="K216" s="8">
        <v>0.15</v>
      </c>
      <c r="L216" s="8">
        <v>7.0000000000000007E-2</v>
      </c>
      <c r="M216" s="8">
        <v>0.08</v>
      </c>
      <c r="N216" s="7">
        <v>104.7</v>
      </c>
      <c r="O216" s="7">
        <v>94.6</v>
      </c>
    </row>
    <row r="217" spans="1:15" x14ac:dyDescent="0.2">
      <c r="A217" s="4" t="s">
        <v>181</v>
      </c>
      <c r="B217" s="5">
        <v>3887</v>
      </c>
      <c r="C217" s="4" t="s">
        <v>29</v>
      </c>
      <c r="D217" s="6">
        <v>12</v>
      </c>
      <c r="E217" s="6">
        <v>98</v>
      </c>
      <c r="F217" s="7">
        <v>1.2</v>
      </c>
      <c r="G217" s="6">
        <v>115000</v>
      </c>
      <c r="H217" s="8">
        <v>-0.1</v>
      </c>
      <c r="I217" s="8">
        <v>-0.3</v>
      </c>
      <c r="J217" s="8">
        <v>0.1</v>
      </c>
      <c r="K217" s="8">
        <v>-0.06</v>
      </c>
      <c r="L217" s="8">
        <v>-0.12</v>
      </c>
      <c r="M217" s="8">
        <v>0.05</v>
      </c>
      <c r="N217" s="7">
        <v>58.1</v>
      </c>
      <c r="O217" s="7">
        <v>99.1</v>
      </c>
    </row>
    <row r="218" spans="1:15" x14ac:dyDescent="0.2">
      <c r="A218" s="4" t="s">
        <v>176</v>
      </c>
      <c r="B218" s="5">
        <v>3887</v>
      </c>
      <c r="C218" s="4" t="s">
        <v>29</v>
      </c>
      <c r="D218" s="6">
        <v>11</v>
      </c>
      <c r="E218" s="6">
        <v>52</v>
      </c>
      <c r="F218" s="7">
        <v>0.5</v>
      </c>
      <c r="G218" s="6">
        <v>26000</v>
      </c>
      <c r="H218" s="8">
        <v>-0.1</v>
      </c>
      <c r="I218" s="8">
        <v>-0.1</v>
      </c>
      <c r="J218" s="8">
        <v>0</v>
      </c>
      <c r="K218" s="8">
        <v>-0.09</v>
      </c>
      <c r="L218" s="8">
        <v>-0.11</v>
      </c>
      <c r="M218" s="8">
        <v>0.02</v>
      </c>
      <c r="N218" s="7">
        <v>66.7</v>
      </c>
      <c r="O218" s="7">
        <v>106.5</v>
      </c>
    </row>
    <row r="219" spans="1:15" x14ac:dyDescent="0.2">
      <c r="A219" s="4" t="s">
        <v>194</v>
      </c>
      <c r="B219" s="5">
        <v>3887</v>
      </c>
      <c r="C219" s="4" t="s">
        <v>29</v>
      </c>
      <c r="D219" s="6">
        <v>4</v>
      </c>
      <c r="E219" s="6">
        <v>17</v>
      </c>
      <c r="F219" s="7">
        <v>-15</v>
      </c>
      <c r="G219" s="6">
        <v>-261</v>
      </c>
      <c r="H219" s="8">
        <v>-0.1</v>
      </c>
      <c r="I219" s="8">
        <v>-0.1</v>
      </c>
      <c r="J219" s="8">
        <v>0</v>
      </c>
      <c r="K219" s="8">
        <v>-0.24</v>
      </c>
      <c r="L219" s="8">
        <v>-0.33</v>
      </c>
      <c r="M219" s="8">
        <v>0.09</v>
      </c>
      <c r="N219" s="7">
        <v>33.700000000000003</v>
      </c>
      <c r="O219" s="7">
        <v>92.2</v>
      </c>
    </row>
    <row r="220" spans="1:15" x14ac:dyDescent="0.2">
      <c r="A220" s="4" t="s">
        <v>184</v>
      </c>
      <c r="B220" s="5">
        <v>3887</v>
      </c>
      <c r="C220" s="4" t="s">
        <v>29</v>
      </c>
      <c r="D220" s="6">
        <v>14</v>
      </c>
      <c r="E220" s="6">
        <v>154</v>
      </c>
      <c r="F220" s="7">
        <v>14.8</v>
      </c>
      <c r="G220" s="6">
        <v>2279</v>
      </c>
      <c r="H220" s="8">
        <v>0.5</v>
      </c>
      <c r="I220" s="8">
        <v>0.3</v>
      </c>
      <c r="J220" s="8">
        <v>0.2</v>
      </c>
      <c r="K220" s="8">
        <v>0.13</v>
      </c>
      <c r="L220" s="8">
        <v>0.08</v>
      </c>
      <c r="M220" s="8">
        <v>0.05</v>
      </c>
      <c r="N220" s="7">
        <v>109.7</v>
      </c>
      <c r="O220" s="7">
        <v>99.2</v>
      </c>
    </row>
    <row r="221" spans="1:15" x14ac:dyDescent="0.2">
      <c r="A221" s="4" t="s">
        <v>206</v>
      </c>
      <c r="B221" s="5">
        <v>3887</v>
      </c>
      <c r="C221" s="4" t="s">
        <v>190</v>
      </c>
      <c r="D221" s="6">
        <v>1</v>
      </c>
      <c r="E221" s="6">
        <v>0</v>
      </c>
      <c r="F221" s="7">
        <v>0</v>
      </c>
      <c r="G221" s="6">
        <v>0</v>
      </c>
      <c r="H221" s="8">
        <v>0</v>
      </c>
      <c r="I221" s="8">
        <v>0</v>
      </c>
      <c r="J221" s="8">
        <v>0</v>
      </c>
      <c r="K221" s="8">
        <v>-0.02</v>
      </c>
      <c r="L221" s="8">
        <v>0</v>
      </c>
      <c r="M221" s="8">
        <v>-0.02</v>
      </c>
      <c r="N221" s="7"/>
      <c r="O221" s="7">
        <v>113.5</v>
      </c>
    </row>
    <row r="222" spans="1:15" x14ac:dyDescent="0.2">
      <c r="A222" s="4" t="s">
        <v>202</v>
      </c>
      <c r="B222" s="5">
        <v>2915</v>
      </c>
      <c r="C222" s="4" t="s">
        <v>29</v>
      </c>
      <c r="D222" s="6">
        <v>8</v>
      </c>
      <c r="E222" s="6">
        <v>157</v>
      </c>
      <c r="F222" s="7">
        <v>21.9</v>
      </c>
      <c r="G222" s="6">
        <v>3429</v>
      </c>
      <c r="H222" s="8">
        <v>0.5</v>
      </c>
      <c r="I222" s="8">
        <v>0.5</v>
      </c>
      <c r="J222" s="8">
        <v>0</v>
      </c>
      <c r="K222" s="8">
        <v>0.14000000000000001</v>
      </c>
      <c r="L222" s="8">
        <v>0.14000000000000001</v>
      </c>
      <c r="M222" s="8">
        <v>0</v>
      </c>
      <c r="N222" s="7">
        <v>120.6</v>
      </c>
      <c r="O222" s="7">
        <v>110.1</v>
      </c>
    </row>
    <row r="223" spans="1:15" x14ac:dyDescent="0.2">
      <c r="A223" s="4" t="s">
        <v>207</v>
      </c>
      <c r="B223" s="5">
        <v>2915</v>
      </c>
      <c r="C223" s="4" t="s">
        <v>190</v>
      </c>
      <c r="D223" s="6">
        <v>2</v>
      </c>
      <c r="E223" s="6">
        <v>6000</v>
      </c>
      <c r="F223" s="7">
        <v>-0.9</v>
      </c>
      <c r="G223" s="6">
        <v>-5</v>
      </c>
      <c r="H223" s="8">
        <v>0</v>
      </c>
      <c r="I223" s="8">
        <v>0</v>
      </c>
      <c r="J223" s="8">
        <v>0</v>
      </c>
      <c r="K223" s="8">
        <v>0.01</v>
      </c>
      <c r="L223" s="8">
        <v>0</v>
      </c>
      <c r="M223" s="8">
        <v>0.01</v>
      </c>
      <c r="N223" s="7"/>
      <c r="O223" s="7">
        <v>107.5</v>
      </c>
    </row>
    <row r="224" spans="1:15" x14ac:dyDescent="0.2">
      <c r="A224" s="4" t="s">
        <v>193</v>
      </c>
      <c r="B224" s="5">
        <v>1987</v>
      </c>
      <c r="C224" s="4" t="s">
        <v>190</v>
      </c>
      <c r="D224" s="6">
        <v>15</v>
      </c>
      <c r="E224" s="6">
        <v>265</v>
      </c>
      <c r="F224" s="7">
        <v>12.3</v>
      </c>
      <c r="G224" s="6">
        <v>3248</v>
      </c>
      <c r="H224" s="8">
        <v>0.6</v>
      </c>
      <c r="I224" s="8">
        <v>0.6</v>
      </c>
      <c r="J224" s="8">
        <v>0</v>
      </c>
      <c r="K224" s="8">
        <v>0.09</v>
      </c>
      <c r="L224" s="8">
        <v>0.09</v>
      </c>
      <c r="M224" s="8">
        <v>0</v>
      </c>
      <c r="N224" s="7">
        <v>121.7</v>
      </c>
      <c r="O224" s="7">
        <v>109.5</v>
      </c>
    </row>
    <row r="225" spans="1:15" x14ac:dyDescent="0.2">
      <c r="A225" s="4" t="s">
        <v>188</v>
      </c>
      <c r="B225" s="5">
        <v>1666</v>
      </c>
      <c r="C225" s="4" t="s">
        <v>190</v>
      </c>
      <c r="D225" s="6">
        <v>19</v>
      </c>
      <c r="E225" s="6">
        <v>418</v>
      </c>
      <c r="F225" s="7">
        <v>6</v>
      </c>
      <c r="G225" s="6">
        <v>2527</v>
      </c>
      <c r="H225" s="8">
        <v>-0.3</v>
      </c>
      <c r="I225" s="8">
        <v>-0.3</v>
      </c>
      <c r="J225" s="8">
        <v>0</v>
      </c>
      <c r="K225" s="8">
        <v>-0.03</v>
      </c>
      <c r="L225" s="8">
        <v>-0.03</v>
      </c>
      <c r="M225" s="8">
        <v>0</v>
      </c>
      <c r="N225" s="7">
        <v>82.1</v>
      </c>
      <c r="O225" s="7">
        <v>110.3</v>
      </c>
    </row>
    <row r="226" spans="1:15" x14ac:dyDescent="0.2">
      <c r="A226" s="4" t="s">
        <v>207</v>
      </c>
      <c r="B226" s="5">
        <v>1250</v>
      </c>
      <c r="C226" s="4" t="s">
        <v>190</v>
      </c>
      <c r="D226" s="6">
        <v>2</v>
      </c>
      <c r="E226" s="6">
        <v>6000</v>
      </c>
      <c r="F226" s="7">
        <v>-0.9</v>
      </c>
      <c r="G226" s="6">
        <v>-5</v>
      </c>
      <c r="H226" s="8">
        <v>0</v>
      </c>
      <c r="I226" s="8">
        <v>0</v>
      </c>
      <c r="J226" s="8">
        <v>0</v>
      </c>
      <c r="K226" s="8">
        <v>0.01</v>
      </c>
      <c r="L226" s="8">
        <v>0</v>
      </c>
      <c r="M226" s="8">
        <v>0.01</v>
      </c>
      <c r="N226" s="7"/>
      <c r="O226" s="7">
        <v>107.5</v>
      </c>
    </row>
    <row r="227" spans="1:15" x14ac:dyDescent="0.2">
      <c r="A227" s="4" t="s">
        <v>203</v>
      </c>
      <c r="B227" s="5">
        <v>833</v>
      </c>
      <c r="C227" s="4" t="s">
        <v>190</v>
      </c>
      <c r="D227" s="6">
        <v>4</v>
      </c>
      <c r="E227" s="6">
        <v>45</v>
      </c>
      <c r="F227" s="7">
        <v>9</v>
      </c>
      <c r="G227" s="6">
        <v>400000</v>
      </c>
      <c r="H227" s="8">
        <v>0</v>
      </c>
      <c r="I227" s="8">
        <v>0.1</v>
      </c>
      <c r="J227" s="8">
        <v>0</v>
      </c>
      <c r="K227" s="8">
        <v>0.01</v>
      </c>
      <c r="L227" s="8">
        <v>0.05</v>
      </c>
      <c r="M227" s="8">
        <v>-0.04</v>
      </c>
      <c r="N227" s="7">
        <v>102.3</v>
      </c>
      <c r="O227" s="7">
        <v>118.2</v>
      </c>
    </row>
    <row r="228" spans="1:15" x14ac:dyDescent="0.2">
      <c r="A228" s="4" t="s">
        <v>197</v>
      </c>
      <c r="B228" s="5"/>
      <c r="C228" s="4" t="s">
        <v>29</v>
      </c>
      <c r="D228" s="6">
        <v>10</v>
      </c>
      <c r="E228" s="6">
        <v>167</v>
      </c>
      <c r="F228" s="7">
        <v>16.399999999999999</v>
      </c>
      <c r="G228" s="6">
        <v>2736</v>
      </c>
      <c r="H228" s="8">
        <v>0.6</v>
      </c>
      <c r="I228" s="8">
        <v>0.3</v>
      </c>
      <c r="J228" s="8">
        <v>0.3</v>
      </c>
      <c r="K228" s="8">
        <v>0.15</v>
      </c>
      <c r="L228" s="8">
        <v>7.0000000000000007E-2</v>
      </c>
      <c r="M228" s="8">
        <v>0.08</v>
      </c>
      <c r="N228" s="7">
        <v>104.7</v>
      </c>
      <c r="O228" s="7">
        <v>94.6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Filtered Data</vt:lpstr>
      <vt:lpstr>Analysis</vt:lpstr>
      <vt:lpstr>Full data</vt:lpstr>
      <vt:lpstr>Cleaned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Duc Anh Pham</cp:lastModifiedBy>
  <dcterms:created xsi:type="dcterms:W3CDTF">2026-06-03T17:05:18Z</dcterms:created>
  <dcterms:modified xsi:type="dcterms:W3CDTF">2026-06-12T03:27:39Z</dcterms:modified>
</cp:coreProperties>
</file>