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ducanh_pham_student_kuleuven_be/Documents/Project/DV/Data/Useful/"/>
    </mc:Choice>
  </mc:AlternateContent>
  <xr:revisionPtr revIDLastSave="142" documentId="13_ncr:1_{9FE8464E-2986-3D49-920C-354F83354F72}" xr6:coauthVersionLast="47" xr6:coauthVersionMax="47" xr10:uidLastSave="{D52D405C-E501-0B49-A426-2A35D0857E69}"/>
  <bookViews>
    <workbookView xWindow="0" yWindow="500" windowWidth="28800" windowHeight="15760" xr2:uid="{8E6010E5-FE85-5743-8713-34EAE87B449E}"/>
  </bookViews>
  <sheets>
    <sheet name="Salary Cap" sheetId="1" r:id="rId1"/>
    <sheet name="2019" sheetId="3" r:id="rId2"/>
    <sheet name="2020" sheetId="4" r:id="rId3"/>
    <sheet name="2021" sheetId="11" r:id="rId4"/>
    <sheet name="2022" sheetId="6" r:id="rId5"/>
    <sheet name="2023" sheetId="7" r:id="rId6"/>
    <sheet name="2024" sheetId="8" r:id="rId7"/>
    <sheet name="2025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20" i="1"/>
  <c r="C21" i="1"/>
  <c r="C22" i="1"/>
  <c r="C23" i="1"/>
  <c r="C24" i="1"/>
  <c r="C18" i="1"/>
  <c r="J19" i="1"/>
  <c r="M24" i="1"/>
  <c r="P24" i="1" s="1"/>
  <c r="M23" i="1"/>
  <c r="P23" i="1" s="1"/>
  <c r="M22" i="1"/>
  <c r="P22" i="1" s="1"/>
  <c r="M21" i="1"/>
  <c r="P21" i="1" s="1"/>
  <c r="M20" i="1"/>
  <c r="P20" i="1" s="1"/>
  <c r="M19" i="1"/>
  <c r="P19" i="1" s="1"/>
  <c r="M18" i="1"/>
  <c r="P18" i="1" s="1"/>
  <c r="L24" i="1"/>
  <c r="O24" i="1" s="1"/>
  <c r="L23" i="1"/>
  <c r="O23" i="1" s="1"/>
  <c r="L22" i="1"/>
  <c r="O22" i="1" s="1"/>
  <c r="L21" i="1"/>
  <c r="O21" i="1" s="1"/>
  <c r="L20" i="1"/>
  <c r="O20" i="1" s="1"/>
  <c r="L19" i="1"/>
  <c r="O19" i="1" s="1"/>
  <c r="L18" i="1"/>
  <c r="O18" i="1" s="1"/>
  <c r="K24" i="1"/>
  <c r="N24" i="1" s="1"/>
  <c r="K23" i="1"/>
  <c r="N23" i="1" s="1"/>
  <c r="K22" i="1"/>
  <c r="N22" i="1" s="1"/>
  <c r="K21" i="1"/>
  <c r="N21" i="1" s="1"/>
  <c r="K20" i="1"/>
  <c r="N20" i="1" s="1"/>
  <c r="K19" i="1"/>
  <c r="N19" i="1" s="1"/>
  <c r="K18" i="1"/>
  <c r="N18" i="1" s="1"/>
  <c r="E3" i="9"/>
  <c r="J22" i="1"/>
  <c r="J23" i="1"/>
  <c r="J21" i="1"/>
  <c r="J20" i="1"/>
  <c r="J18" i="1"/>
  <c r="J24" i="1"/>
  <c r="D159" i="9"/>
  <c r="D122" i="9"/>
  <c r="D119" i="9"/>
  <c r="D106" i="9"/>
  <c r="D103" i="9"/>
  <c r="D95" i="9"/>
  <c r="D94" i="9"/>
  <c r="D81" i="9"/>
  <c r="D68" i="9"/>
  <c r="D65" i="9"/>
  <c r="D38" i="9"/>
  <c r="D19" i="9"/>
  <c r="D152" i="9"/>
  <c r="D144" i="9"/>
  <c r="D139" i="9"/>
  <c r="D137" i="9"/>
  <c r="D134" i="9"/>
  <c r="D121" i="9"/>
  <c r="D111" i="9"/>
  <c r="D72" i="9"/>
  <c r="D61" i="9"/>
  <c r="D55" i="9"/>
  <c r="D54" i="9"/>
  <c r="D47" i="9"/>
  <c r="D27" i="9"/>
  <c r="D149" i="9"/>
  <c r="D146" i="9"/>
  <c r="D118" i="9"/>
  <c r="D110" i="9"/>
  <c r="D105" i="9"/>
  <c r="D102" i="9"/>
  <c r="D101" i="9"/>
  <c r="D93" i="9"/>
  <c r="D83" i="9"/>
  <c r="D71" i="9"/>
  <c r="D37" i="9"/>
  <c r="D17" i="9"/>
  <c r="D153" i="9"/>
  <c r="D141" i="9"/>
  <c r="D140" i="9"/>
  <c r="D92" i="9"/>
  <c r="D91" i="9"/>
  <c r="D70" i="9"/>
  <c r="D63" i="9"/>
  <c r="D34" i="9"/>
  <c r="D31" i="9"/>
  <c r="D30" i="9"/>
  <c r="D15" i="9"/>
  <c r="D6" i="9"/>
  <c r="D145" i="9"/>
  <c r="D117" i="9"/>
  <c r="D109" i="9"/>
  <c r="D104" i="9"/>
  <c r="D99" i="9"/>
  <c r="D64" i="9"/>
  <c r="D60" i="9"/>
  <c r="D50" i="9"/>
  <c r="D44" i="9"/>
  <c r="D40" i="9"/>
  <c r="D35" i="9"/>
  <c r="D7" i="9"/>
  <c r="D155" i="9"/>
  <c r="D133" i="9"/>
  <c r="D116" i="9"/>
  <c r="D108" i="9"/>
  <c r="D98" i="9"/>
  <c r="D97" i="9"/>
  <c r="D76" i="9"/>
  <c r="D52" i="9"/>
  <c r="D45" i="9"/>
  <c r="D29" i="9"/>
  <c r="D23" i="9"/>
  <c r="D22" i="9"/>
  <c r="D162" i="9"/>
  <c r="D160" i="9"/>
  <c r="D158" i="9"/>
  <c r="D157" i="9"/>
  <c r="D147" i="9"/>
  <c r="D138" i="9"/>
  <c r="D115" i="9"/>
  <c r="D96" i="9"/>
  <c r="D80" i="9"/>
  <c r="D75" i="9"/>
  <c r="D74" i="9"/>
  <c r="D69" i="9"/>
  <c r="D59" i="9"/>
  <c r="D58" i="9"/>
  <c r="D14" i="9"/>
  <c r="D2" i="9"/>
  <c r="D143" i="9"/>
  <c r="D132" i="9"/>
  <c r="D131" i="9"/>
  <c r="D120" i="9"/>
  <c r="D100" i="9"/>
  <c r="D90" i="9"/>
  <c r="D89" i="9"/>
  <c r="D85" i="9"/>
  <c r="D26" i="9"/>
  <c r="D18" i="9"/>
  <c r="D9" i="9"/>
  <c r="D8" i="9"/>
  <c r="D151" i="9"/>
  <c r="D130" i="9"/>
  <c r="D129" i="9"/>
  <c r="D114" i="9"/>
  <c r="D82" i="9"/>
  <c r="D67" i="9"/>
  <c r="D43" i="9"/>
  <c r="D42" i="9"/>
  <c r="D33" i="9"/>
  <c r="D32" i="9"/>
  <c r="D13" i="9"/>
  <c r="D12" i="9"/>
  <c r="D154" i="9"/>
  <c r="D135" i="9"/>
  <c r="D128" i="9"/>
  <c r="D127" i="9"/>
  <c r="D126" i="9"/>
  <c r="D84" i="9"/>
  <c r="D53" i="9"/>
  <c r="D49" i="9"/>
  <c r="D51" i="9"/>
  <c r="D11" i="9"/>
  <c r="D10" i="9"/>
  <c r="D5" i="9"/>
  <c r="D156" i="9"/>
  <c r="D148" i="9"/>
  <c r="D136" i="9"/>
  <c r="D113" i="9"/>
  <c r="D88" i="9"/>
  <c r="D48" i="9"/>
  <c r="D46" i="9"/>
  <c r="D41" i="9"/>
  <c r="D36" i="9"/>
  <c r="D25" i="9"/>
  <c r="D20" i="9"/>
  <c r="D16" i="9"/>
  <c r="D164" i="9"/>
  <c r="D163" i="9"/>
  <c r="D161" i="9"/>
  <c r="D150" i="9"/>
  <c r="D142" i="9"/>
  <c r="D125" i="9"/>
  <c r="D124" i="9"/>
  <c r="D123" i="9"/>
  <c r="D107" i="9"/>
  <c r="D87" i="9"/>
  <c r="D79" i="9"/>
  <c r="D78" i="9"/>
  <c r="D57" i="9"/>
  <c r="D21" i="9"/>
  <c r="D4" i="9"/>
  <c r="D112" i="9"/>
  <c r="D86" i="9"/>
  <c r="D77" i="9"/>
  <c r="D73" i="9"/>
  <c r="D66" i="9"/>
  <c r="D62" i="9"/>
  <c r="D56" i="9"/>
  <c r="D39" i="9"/>
  <c r="D28" i="9"/>
  <c r="D24" i="9"/>
  <c r="D3" i="9"/>
  <c r="B149" i="11"/>
  <c r="B136" i="11"/>
  <c r="B144" i="11"/>
  <c r="B138" i="11"/>
  <c r="B30" i="11"/>
  <c r="B100" i="11"/>
  <c r="B31" i="11"/>
  <c r="B145" i="11"/>
  <c r="B67" i="11"/>
  <c r="B26" i="11"/>
  <c r="B38" i="11"/>
  <c r="B140" i="11"/>
  <c r="B137" i="11"/>
  <c r="B142" i="11"/>
  <c r="B141" i="11"/>
  <c r="B143" i="11"/>
  <c r="B139" i="11"/>
  <c r="B65" i="11"/>
  <c r="B148" i="11"/>
  <c r="B154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536B5C-86B5-2847-83BC-36A1948C0F94}" keepAlive="1" name="Query - Query" description="Connection to the 'Query' query in the workbook." type="5" refreshedVersion="0" background="1">
    <dbPr connection="Provider=Microsoft.Mashup.OleDb.1;Data Source=$Workbook$;Location=Query;Extended Properties=&quot;&quot;" command="SELECT * FROM [Query]"/>
  </connection>
  <connection id="2" xr16:uid="{425CBB34-41FB-7242-95AC-8347BFE254ED}" keepAlive="1" name="Query - Query (2)" description="Connection to the 'Query (2)' query in the workbook." type="5" refreshedVersion="8" background="1" saveData="1">
    <dbPr connection="Provider=Microsoft.Mashup.OleDb.1;Data Source=$Workbook$;Location=&quot;Query (2)&quot;;Extended Properties=&quot;&quot;" command="SELECT * FROM [Query (2)]"/>
  </connection>
</connections>
</file>

<file path=xl/sharedStrings.xml><?xml version="1.0" encoding="utf-8"?>
<sst xmlns="http://schemas.openxmlformats.org/spreadsheetml/2006/main" count="1862" uniqueCount="436">
  <si>
    <t>Season</t>
  </si>
  <si>
    <t>Cap</t>
  </si>
  <si>
    <t>4.8%</t>
  </si>
  <si>
    <t>13.7%</t>
  </si>
  <si>
    <t>4.0%</t>
  </si>
  <si>
    <t>2.4%</t>
  </si>
  <si>
    <t>4.7%</t>
  </si>
  <si>
    <t>13.4%</t>
  </si>
  <si>
    <t>2.3%</t>
  </si>
  <si>
    <t>4.6%</t>
  </si>
  <si>
    <t>13.2%</t>
  </si>
  <si>
    <t>2.2%</t>
  </si>
  <si>
    <t>4.5%</t>
  </si>
  <si>
    <t>13.0%</t>
  </si>
  <si>
    <t>12.8%</t>
  </si>
  <si>
    <t>6.0%</t>
  </si>
  <si>
    <t>12.6%</t>
  </si>
  <si>
    <t>2.1%</t>
  </si>
  <si>
    <t>4.4%</t>
  </si>
  <si>
    <t>12.4%</t>
  </si>
  <si>
    <t>3.0%</t>
  </si>
  <si>
    <t>2.0%</t>
  </si>
  <si>
    <t>4.3%</t>
  </si>
  <si>
    <t>12.3%</t>
  </si>
  <si>
    <t>12.1%</t>
  </si>
  <si>
    <t>3.1%</t>
  </si>
  <si>
    <t>1.9%</t>
  </si>
  <si>
    <t>4.2%</t>
  </si>
  <si>
    <t>12.0%</t>
  </si>
  <si>
    <t>11.8%</t>
  </si>
  <si>
    <t>-1.3%</t>
  </si>
  <si>
    <t>0.0%</t>
  </si>
  <si>
    <t>11.9%</t>
  </si>
  <si>
    <t>1.8%</t>
  </si>
  <si>
    <t>1.7%</t>
  </si>
  <si>
    <t>30.5%</t>
  </si>
  <si>
    <t>83.0%</t>
  </si>
  <si>
    <t>16.5%</t>
  </si>
  <si>
    <t>231.8%</t>
  </si>
  <si>
    <t>301.2%</t>
  </si>
  <si>
    <t>20.0%</t>
  </si>
  <si>
    <t>Average Salary</t>
  </si>
  <si>
    <t>Max % of cap</t>
  </si>
  <si>
    <t>Min % of cap</t>
  </si>
  <si>
    <t>Max increase</t>
  </si>
  <si>
    <t>Maximum salary</t>
  </si>
  <si>
    <t>Minimum salary</t>
  </si>
  <si>
    <t>Cap Increase</t>
  </si>
  <si>
    <t>DeWanna Bonner</t>
  </si>
  <si>
    <t>Sue Bird</t>
  </si>
  <si>
    <t>Tina Charles</t>
  </si>
  <si>
    <t>Skylar Diggins</t>
  </si>
  <si>
    <t>Candice Dupree</t>
  </si>
  <si>
    <t>Briann January</t>
  </si>
  <si>
    <t>Glory Johnson</t>
  </si>
  <si>
    <t>Jewell Loyd</t>
  </si>
  <si>
    <t>Angel McCoughtry</t>
  </si>
  <si>
    <t>Emma Meesseman</t>
  </si>
  <si>
    <t>Chiney Ogwumike</t>
  </si>
  <si>
    <t>Candace Parker</t>
  </si>
  <si>
    <t>Allie Quigley</t>
  </si>
  <si>
    <t>Diana Taurasi</t>
  </si>
  <si>
    <t>Jasmine Thomas</t>
  </si>
  <si>
    <t>Courtney Vandersloot</t>
  </si>
  <si>
    <t>Elena Delle Donne</t>
  </si>
  <si>
    <t>Tiffany Hayes</t>
  </si>
  <si>
    <t>Alex Bentley</t>
  </si>
  <si>
    <t>Jessica Breland</t>
  </si>
  <si>
    <t>Liz Cambage</t>
  </si>
  <si>
    <t>Natasha Cloud</t>
  </si>
  <si>
    <t>Stefanie Dolson</t>
  </si>
  <si>
    <t>Chelsea Gray</t>
  </si>
  <si>
    <t>Brittney Griner</t>
  </si>
  <si>
    <t>Dearica Hamby</t>
  </si>
  <si>
    <t>Tayler Hill</t>
  </si>
  <si>
    <t>Natasha Howard</t>
  </si>
  <si>
    <t>Jantel Lavender</t>
  </si>
  <si>
    <t>Kayla McBride</t>
  </si>
  <si>
    <t>Maya Moore</t>
  </si>
  <si>
    <t>Nneka Ogwumike</t>
  </si>
  <si>
    <t>LaToya Sanders</t>
  </si>
  <si>
    <t>Odyssey Sims</t>
  </si>
  <si>
    <t>Alyssa Thomas</t>
  </si>
  <si>
    <t>Kristi Toliver</t>
  </si>
  <si>
    <t>Elizabeth Williams</t>
  </si>
  <si>
    <t>Sylvia Fowles</t>
  </si>
  <si>
    <t>Seimone Augustus</t>
  </si>
  <si>
    <t>Courtney Paris</t>
  </si>
  <si>
    <t>Cheyenne Parker-Tyus</t>
  </si>
  <si>
    <t>Riquna Williams</t>
  </si>
  <si>
    <t>Alana Beard</t>
  </si>
  <si>
    <t>Danielle Robinson</t>
  </si>
  <si>
    <t>Amanda Zahui B</t>
  </si>
  <si>
    <t>Renee Montgomery</t>
  </si>
  <si>
    <t>Shekinna Stricklen</t>
  </si>
  <si>
    <t>Natalie Achonwa</t>
  </si>
  <si>
    <t>Damiris Dantas</t>
  </si>
  <si>
    <t>Crystal Langhorne</t>
  </si>
  <si>
    <t>Shenise Johnson</t>
  </si>
  <si>
    <t>Theresa Plaisance</t>
  </si>
  <si>
    <t>Karima Christmas-Kelly</t>
  </si>
  <si>
    <t>Bria Hartley</t>
  </si>
  <si>
    <t>Sugar Rodgers</t>
  </si>
  <si>
    <t>Camille Little</t>
  </si>
  <si>
    <t>Tamera Young</t>
  </si>
  <si>
    <t>Leilani Mitchell</t>
  </si>
  <si>
    <t>Tanisha Wright</t>
  </si>
  <si>
    <t>Layshia Clarendon</t>
  </si>
  <si>
    <t>Kiah Stokes</t>
  </si>
  <si>
    <t>Kayla Thornton</t>
  </si>
  <si>
    <t>Essence Carson</t>
  </si>
  <si>
    <t>Alysha Clark</t>
  </si>
  <si>
    <t>Carolyn Swords</t>
  </si>
  <si>
    <t>Rebecca Allen</t>
  </si>
  <si>
    <t>Brittany Boyd</t>
  </si>
  <si>
    <t>Sancho Lyttle</t>
  </si>
  <si>
    <t>Erica Wheeler</t>
  </si>
  <si>
    <t>Betnijah Laney-Hamilton</t>
  </si>
  <si>
    <t>Tianna Hawkins</t>
  </si>
  <si>
    <t>Kaleena Mosqueda-Lewis</t>
  </si>
  <si>
    <t>Astou Ndour</t>
  </si>
  <si>
    <t>Shavonte Zellous</t>
  </si>
  <si>
    <t>Rachel Banham</t>
  </si>
  <si>
    <t>Moriah Jefferson</t>
  </si>
  <si>
    <t>Breanna Stewart</t>
  </si>
  <si>
    <t>Morgan Tuck</t>
  </si>
  <si>
    <t>Jamierra Faulkner</t>
  </si>
  <si>
    <t>Kahleah Copper</t>
  </si>
  <si>
    <t>Jonquel Jones</t>
  </si>
  <si>
    <t>Aerial Powers</t>
  </si>
  <si>
    <t>Courtney Williams</t>
  </si>
  <si>
    <t>Allisha Gray</t>
  </si>
  <si>
    <t>Kelsey Plum</t>
  </si>
  <si>
    <t>Kelsey Griffin</t>
  </si>
  <si>
    <t>Tierra Ruffin-Pratt</t>
  </si>
  <si>
    <t>Ashley Walker</t>
  </si>
  <si>
    <t>Alaina Coates</t>
  </si>
  <si>
    <t>Diamond DeShields</t>
  </si>
  <si>
    <t>Kelsey Mitchell</t>
  </si>
  <si>
    <t>Gabby Williams</t>
  </si>
  <si>
    <t>A'ja Wilson</t>
  </si>
  <si>
    <t>Nia Coffey</t>
  </si>
  <si>
    <t>Brionna Jones</t>
  </si>
  <si>
    <t>Brittney Sykes</t>
  </si>
  <si>
    <t>Shatori Walker-Kimbrough</t>
  </si>
  <si>
    <t>Asia Durr</t>
  </si>
  <si>
    <t>Teaira McCowan</t>
  </si>
  <si>
    <t>Katie Lou Samuelson</t>
  </si>
  <si>
    <t>Jackie Young</t>
  </si>
  <si>
    <t>Isabelle Harrison</t>
  </si>
  <si>
    <t>Bria Holmes</t>
  </si>
  <si>
    <t>Imani McGee-Stafford</t>
  </si>
  <si>
    <t>Tiffany Mitchell</t>
  </si>
  <si>
    <t>Sami Whitcomb</t>
  </si>
  <si>
    <t>Ariel Atkins</t>
  </si>
  <si>
    <t>Jordin Canada</t>
  </si>
  <si>
    <t>Victoria Vivians</t>
  </si>
  <si>
    <t>Kalani Brown</t>
  </si>
  <si>
    <t>Napheesa Collier</t>
  </si>
  <si>
    <t>Arike Ogunbowale</t>
  </si>
  <si>
    <t>Alanna Smith</t>
  </si>
  <si>
    <t>Temi Fagbenle</t>
  </si>
  <si>
    <t>Kaela Davis</t>
  </si>
  <si>
    <t>Alexis Jones</t>
  </si>
  <si>
    <t>Sydney Wiese</t>
  </si>
  <si>
    <t>Erica McCall</t>
  </si>
  <si>
    <t>Lexie Brown</t>
  </si>
  <si>
    <t>Kia Nurse</t>
  </si>
  <si>
    <t>Maria Vadeeva</t>
  </si>
  <si>
    <t>Kristine Anigwe</t>
  </si>
  <si>
    <t>Kiara Leslie</t>
  </si>
  <si>
    <t>Ezi Magbegor</t>
  </si>
  <si>
    <t>Brianna Turner</t>
  </si>
  <si>
    <t>Stephanie Talbot</t>
  </si>
  <si>
    <t>Monique Billings</t>
  </si>
  <si>
    <t>Myisha Hines-Allen</t>
  </si>
  <si>
    <t>Stephanie Mavunga</t>
  </si>
  <si>
    <t>JiSu Park</t>
  </si>
  <si>
    <t>Maite Cazorla</t>
  </si>
  <si>
    <t>Sophie Cunningham</t>
  </si>
  <si>
    <t>Xu Han</t>
  </si>
  <si>
    <t>Marina Mabrey</t>
  </si>
  <si>
    <t>Jessica Shepard</t>
  </si>
  <si>
    <t>Kennedy Burke</t>
  </si>
  <si>
    <t>Arica Carter</t>
  </si>
  <si>
    <t>Reshanda Gray</t>
  </si>
  <si>
    <t>Marine Johannes</t>
  </si>
  <si>
    <t>Paris Kea</t>
  </si>
  <si>
    <t>Brooke McCarty</t>
  </si>
  <si>
    <t>Sun Mengran</t>
  </si>
  <si>
    <t>Kim Mestdagh</t>
  </si>
  <si>
    <t>Nayo Raincock-Ekunwe</t>
  </si>
  <si>
    <t>Mercedes Russell</t>
  </si>
  <si>
    <t>Yvonne Turner</t>
  </si>
  <si>
    <t>Blake Dietrick</t>
  </si>
  <si>
    <t>Megan Gustafson</t>
  </si>
  <si>
    <t>Natisha Hiedeman</t>
  </si>
  <si>
    <t>Jillian Alleyne</t>
  </si>
  <si>
    <t>Kayla Alexander</t>
  </si>
  <si>
    <t>Jaime Nared</t>
  </si>
  <si>
    <t>Shey Peddy</t>
  </si>
  <si>
    <t>Azura Stevens</t>
  </si>
  <si>
    <t>Marie Gulich</t>
  </si>
  <si>
    <t>Player</t>
  </si>
  <si>
    <t>Team</t>
  </si>
  <si>
    <t>Salary</t>
  </si>
  <si>
    <t>Chennedy Carter</t>
  </si>
  <si>
    <t>Brittany Brewer</t>
  </si>
  <si>
    <t>Sydney Colson</t>
  </si>
  <si>
    <t>Ruthy Hebard</t>
  </si>
  <si>
    <t>Lauren Cox</t>
  </si>
  <si>
    <t>Kathleen Doyle</t>
  </si>
  <si>
    <t>Julie Allemand</t>
  </si>
  <si>
    <t>Sabrina Ionescu</t>
  </si>
  <si>
    <t>Jazmine Jones</t>
  </si>
  <si>
    <t>Megan Walker</t>
  </si>
  <si>
    <t>Jocelyn Willoughby</t>
  </si>
  <si>
    <t>Leaonna Odom</t>
  </si>
  <si>
    <t>Kylee Shook</t>
  </si>
  <si>
    <t>Satou Sabally</t>
  </si>
  <si>
    <t>Bella Alarie</t>
  </si>
  <si>
    <t>Tyasha Harris</t>
  </si>
  <si>
    <t>Lindsay Allen</t>
  </si>
  <si>
    <t>Cecilia Zandalasini</t>
  </si>
  <si>
    <t>Mikiah Herbert Harrigan</t>
  </si>
  <si>
    <t>Crystal Dangerfield</t>
  </si>
  <si>
    <t>Bridget Carleton</t>
  </si>
  <si>
    <t>Kia Vaughn</t>
  </si>
  <si>
    <t>Epiphanny Prince</t>
  </si>
  <si>
    <t>https://www.spotrac.com/wnba/rankings/player/_/year/2019/sort/cap_base</t>
  </si>
  <si>
    <t>Brittany Boyd-Jones</t>
  </si>
  <si>
    <t>Crystal Bradford</t>
  </si>
  <si>
    <t>Cierra Burdick</t>
  </si>
  <si>
    <t>Emma Cannon</t>
  </si>
  <si>
    <t>DiJonai Carrington</t>
  </si>
  <si>
    <t>Kaila Charles</t>
  </si>
  <si>
    <t>Charli Collier</t>
  </si>
  <si>
    <t>Te'a Cooper</t>
  </si>
  <si>
    <t>Rennia Davis</t>
  </si>
  <si>
    <t>Chelsea Dungee</t>
  </si>
  <si>
    <t>Dana Evans</t>
  </si>
  <si>
    <t>Kysre Gondrezick</t>
  </si>
  <si>
    <t>Aleah Goodman</t>
  </si>
  <si>
    <t>Haley Gorecki</t>
  </si>
  <si>
    <t>Arella Guirantes</t>
  </si>
  <si>
    <t>Linnae Harper</t>
  </si>
  <si>
    <t>Bernadett Hatar</t>
  </si>
  <si>
    <t>Shyla Heal</t>
  </si>
  <si>
    <t>Joyner Holmes</t>
  </si>
  <si>
    <t>Stella Johnson</t>
  </si>
  <si>
    <t>N'Dea Jones</t>
  </si>
  <si>
    <t>Stephanie Jones</t>
  </si>
  <si>
    <t>Maria Kliundikova</t>
  </si>
  <si>
    <t>Awak Kuier</t>
  </si>
  <si>
    <t>Natasha Mack</t>
  </si>
  <si>
    <t>Aari McDonald</t>
  </si>
  <si>
    <t>Beatrice Mompremier</t>
  </si>
  <si>
    <t>Astou Ndour-Fall</t>
  </si>
  <si>
    <t>Michaela Onyenwere</t>
  </si>
  <si>
    <t>Chelsey Perry</t>
  </si>
  <si>
    <t>DiDi Richards</t>
  </si>
  <si>
    <t>Karlie Samuelson</t>
  </si>
  <si>
    <t>Destiny Slocum</t>
  </si>
  <si>
    <t>Jasmine Walker</t>
  </si>
  <si>
    <t>Stephanie Watts</t>
  </si>
  <si>
    <t>Kiana Williams</t>
  </si>
  <si>
    <t>Aaliyah Wilson</t>
  </si>
  <si>
    <t>Amanda Zahui B.</t>
  </si>
  <si>
    <t xml:space="preserve">https://herhoopstats.com/salary-cap-sheet/wnba/players/salary_2021/stats_2021/?stats_to_show=per_game&amp;stat_to_show=pts_per_game </t>
  </si>
  <si>
    <t>Rhyne Howard</t>
  </si>
  <si>
    <t>NaLyssa Smith</t>
  </si>
  <si>
    <t>Maya Caldwell</t>
  </si>
  <si>
    <t>Azurá Stevens</t>
  </si>
  <si>
    <t>Shakira Austin</t>
  </si>
  <si>
    <t>Han Xu</t>
  </si>
  <si>
    <t>Rebekah Gardner</t>
  </si>
  <si>
    <t>Queen Egbo</t>
  </si>
  <si>
    <t>Asia (AD) Durr</t>
  </si>
  <si>
    <t>Kristy Wallace</t>
  </si>
  <si>
    <t>Katie Benzan</t>
  </si>
  <si>
    <t>Nikolina Milic</t>
  </si>
  <si>
    <t>Sparkle Taylor</t>
  </si>
  <si>
    <t>Destanni Henderson</t>
  </si>
  <si>
    <t>Emily Engstler</t>
  </si>
  <si>
    <t>Naz Hillmon</t>
  </si>
  <si>
    <t>Olivia Nelson-Ododa</t>
  </si>
  <si>
    <t>Lexie Hull</t>
  </si>
  <si>
    <t>Iliana Rupert</t>
  </si>
  <si>
    <t>Jennie Simms</t>
  </si>
  <si>
    <t>Yvonne Anderson</t>
  </si>
  <si>
    <t>Evina Westbrook</t>
  </si>
  <si>
    <t>Kianna Smith</t>
  </si>
  <si>
    <t>Veronica Burton</t>
  </si>
  <si>
    <t>Khayla Pointer</t>
  </si>
  <si>
    <t>Nia Clouden</t>
  </si>
  <si>
    <t>Anneli Maley</t>
  </si>
  <si>
    <t>Rui Machida</t>
  </si>
  <si>
    <t>Li Yueru</t>
  </si>
  <si>
    <t>Rae Burrell</t>
  </si>
  <si>
    <t>Aisha Sheppard</t>
  </si>
  <si>
    <t>Kamiah Smalls</t>
  </si>
  <si>
    <t>Kierstan Bell</t>
  </si>
  <si>
    <t>Jasmine Dickey</t>
  </si>
  <si>
    <t>Amy Atwell</t>
  </si>
  <si>
    <t>Lorela Cubaj</t>
  </si>
  <si>
    <t>Elissa Cunane</t>
  </si>
  <si>
    <t>Sam Thomas</t>
  </si>
  <si>
    <t>Hannah Sjerven</t>
  </si>
  <si>
    <t>Raina Perez</t>
  </si>
  <si>
    <t>Tina Krajisnik</t>
  </si>
  <si>
    <t>Name</t>
  </si>
  <si>
    <t>Adjusted Salary</t>
  </si>
  <si>
    <t xml:space="preserve">https://herhoopstats.com/salary-cap-sheet/wnba/team/2025/minnesota-lynx-11eaecc7-357c-772c-b611-2362f5011b0b/ </t>
  </si>
  <si>
    <t>Aaliyah Nye</t>
  </si>
  <si>
    <t>Maddy Siegrist</t>
  </si>
  <si>
    <t>Diamond Miller</t>
  </si>
  <si>
    <t>Paige Bueckers</t>
  </si>
  <si>
    <t>Aziaha James</t>
  </si>
  <si>
    <t>JJ Quinerly</t>
  </si>
  <si>
    <t>Luisa Geiselsöder</t>
  </si>
  <si>
    <t>Haley Jones</t>
  </si>
  <si>
    <t>Grace Berger</t>
  </si>
  <si>
    <t>Amy Okonkwo</t>
  </si>
  <si>
    <t>Ajae Petty</t>
  </si>
  <si>
    <t>Christyn Williams</t>
  </si>
  <si>
    <t>Anastasiia Olairi Kosu</t>
  </si>
  <si>
    <t>Jaylyn Sherrod</t>
  </si>
  <si>
    <t>Camryn Taylor</t>
  </si>
  <si>
    <t>Kitija Laksa</t>
  </si>
  <si>
    <t>Monique Akoa Makani</t>
  </si>
  <si>
    <t>Lexi Held</t>
  </si>
  <si>
    <t>Kathryn Westbeld</t>
  </si>
  <si>
    <t>Te-Hina Paopao</t>
  </si>
  <si>
    <t>Taylor Thierry</t>
  </si>
  <si>
    <t>Sika Koné</t>
  </si>
  <si>
    <t>Nyara Sabally</t>
  </si>
  <si>
    <t>Leonie Fiebich</t>
  </si>
  <si>
    <t>Marine Johannès</t>
  </si>
  <si>
    <t>Aliyah Boston</t>
  </si>
  <si>
    <t>Caitlin Clark</t>
  </si>
  <si>
    <t>Makayla Timpson</t>
  </si>
  <si>
    <t>Chloe Bibby</t>
  </si>
  <si>
    <t>Bree Hall</t>
  </si>
  <si>
    <t>Cameron Brink</t>
  </si>
  <si>
    <t>Rickea Jackson</t>
  </si>
  <si>
    <t>Sarah Ashlee Barker</t>
  </si>
  <si>
    <t>Sania Feagin</t>
  </si>
  <si>
    <t>Julie Vanloo</t>
  </si>
  <si>
    <t>Alissa Pili</t>
  </si>
  <si>
    <t>Kamilla Cardoso</t>
  </si>
  <si>
    <t>Angel Reese</t>
  </si>
  <si>
    <t>Hailey Van Lith</t>
  </si>
  <si>
    <t>Maddy Westbeld</t>
  </si>
  <si>
    <t>Sevgi Uzun</t>
  </si>
  <si>
    <t>Dominique Malonga</t>
  </si>
  <si>
    <t>Mackenzie Holmes</t>
  </si>
  <si>
    <t>Zia Cooke</t>
  </si>
  <si>
    <t>Aneesah Morrow</t>
  </si>
  <si>
    <t>Saniya Rivers</t>
  </si>
  <si>
    <t>Aaliyah Edwards</t>
  </si>
  <si>
    <t>Leila Lacan</t>
  </si>
  <si>
    <t>Rayah Marshall</t>
  </si>
  <si>
    <t>Haley Peters</t>
  </si>
  <si>
    <t>Mamignan Touré</t>
  </si>
  <si>
    <t>Carla Leite</t>
  </si>
  <si>
    <t>Kate Martin</t>
  </si>
  <si>
    <t>Janelle Salaün</t>
  </si>
  <si>
    <t>Laeticia Amihere</t>
  </si>
  <si>
    <t>Kaitlyn Chen</t>
  </si>
  <si>
    <t>Sug Sutton</t>
  </si>
  <si>
    <t>Sonia Citron</t>
  </si>
  <si>
    <t>Kiki Iriafen</t>
  </si>
  <si>
    <t>Georgia Amoore</t>
  </si>
  <si>
    <t>Jacy Sheldon</t>
  </si>
  <si>
    <t>Lucy Olsen</t>
  </si>
  <si>
    <t>Jade Melbourne</t>
  </si>
  <si>
    <t>Madison Scott</t>
  </si>
  <si>
    <t>LV</t>
  </si>
  <si>
    <t>DAL</t>
  </si>
  <si>
    <t>MIN</t>
  </si>
  <si>
    <t>PHX</t>
  </si>
  <si>
    <t>ATL</t>
  </si>
  <si>
    <t>NY</t>
  </si>
  <si>
    <t>IND</t>
  </si>
  <si>
    <t>LA</t>
  </si>
  <si>
    <t>CHI</t>
  </si>
  <si>
    <t>SEA</t>
  </si>
  <si>
    <t>CON</t>
  </si>
  <si>
    <t>GS</t>
  </si>
  <si>
    <t>WAS</t>
  </si>
  <si>
    <t xml:space="preserve">Name </t>
  </si>
  <si>
    <t>https://herhoopstats.com/salary-cap-sheet/wnba/players/salary_2022/stats_2022/</t>
  </si>
  <si>
    <t>Ezinne Kalu</t>
  </si>
  <si>
    <t>Caitlin Bickle</t>
  </si>
  <si>
    <t>Stephanie Soares</t>
  </si>
  <si>
    <t>Lou Lopez Sénéchal</t>
  </si>
  <si>
    <t>Jaelyn Brown</t>
  </si>
  <si>
    <t>Victaria Saxton</t>
  </si>
  <si>
    <t>Dorka Juhasz</t>
  </si>
  <si>
    <t>Olivia Époupa</t>
  </si>
  <si>
    <t>Marquesha Davis</t>
  </si>
  <si>
    <t>Ivana Dojkic</t>
  </si>
  <si>
    <t>Charisma Osborne</t>
  </si>
  <si>
    <t>Celeste Taylor</t>
  </si>
  <si>
    <t>Jordan Horston</t>
  </si>
  <si>
    <t>Nika Mühl</t>
  </si>
  <si>
    <t>https://herhoopstats.com/salary-cap-sheet/wnba/team/2024/washington-mystics-11eaecc7-3568-d154-b611-2362f5011b0b/</t>
  </si>
  <si>
    <t>Morgan Bertsch</t>
  </si>
  <si>
    <t>Robyn Parks</t>
  </si>
  <si>
    <t>Taylor Soule</t>
  </si>
  <si>
    <t>Leigha Brown</t>
  </si>
  <si>
    <t>Bernadett Határ</t>
  </si>
  <si>
    <t>Cayla George</t>
  </si>
  <si>
    <t>Nikolina Milić</t>
  </si>
  <si>
    <t>Kadi Sissoko</t>
  </si>
  <si>
    <t>Ashley Joens</t>
  </si>
  <si>
    <t>Dulcy Fankam Mendjiadeu</t>
  </si>
  <si>
    <t>Li Meng</t>
  </si>
  <si>
    <t>Average Salary (Filtered)</t>
  </si>
  <si>
    <t>Min  Salary</t>
  </si>
  <si>
    <t>Max Salary</t>
  </si>
  <si>
    <t>Jaylyn Agnew</t>
  </si>
  <si>
    <t>Luisa Geiselsoder</t>
  </si>
  <si>
    <t>Lisa Berkani</t>
  </si>
  <si>
    <t>Maria Conde</t>
  </si>
  <si>
    <t>Jacki Gemelos</t>
  </si>
  <si>
    <t>Marie Gülich</t>
  </si>
  <si>
    <t>Mikayla Pivec</t>
  </si>
  <si>
    <t>Avery Warley-Talbert</t>
  </si>
  <si>
    <t>Alexis Prince</t>
  </si>
  <si>
    <t>Alisia Jenkins</t>
  </si>
  <si>
    <t>https://www.spotrac.com/wnba/rankings/player/_/year/2020/team/was/sort/cap_base</t>
  </si>
  <si>
    <t>Adjusted Average Salary</t>
  </si>
  <si>
    <t>Adjusted Min  Salary</t>
  </si>
  <si>
    <t>Adjusted Max Salary</t>
  </si>
  <si>
    <t>Adjusted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</si>
</sst>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3"/>
      <color rgb="FF212529"/>
      <name val="Arial"/>
      <family val="2"/>
    </font>
    <font>
      <b/>
      <sz val="16"/>
      <color rgb="FF666666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48494A"/>
      <name val="Calibri"/>
      <family val="2"/>
      <scheme val="minor"/>
    </font>
    <font>
      <b/>
      <sz val="14"/>
      <color rgb="FF1D1E1F"/>
      <name val="Calibri"/>
      <family val="2"/>
      <scheme val="minor"/>
    </font>
    <font>
      <sz val="12"/>
      <name val="Calibri"/>
      <family val="2"/>
      <scheme val="minor"/>
    </font>
    <font>
      <sz val="12"/>
      <name val="Calibri (Body)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2" fillId="0" borderId="0" xfId="1" applyAlignment="1">
      <alignment vertical="center" wrapText="1"/>
    </xf>
    <xf numFmtId="164" fontId="0" fillId="0" borderId="0" xfId="0" applyNumberFormat="1"/>
    <xf numFmtId="164" fontId="0" fillId="0" borderId="0" xfId="3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0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0" xfId="2" applyNumberFormat="1" applyFont="1" applyAlignment="1">
      <alignment horizontal="center" vertical="center" wrapText="1"/>
    </xf>
    <xf numFmtId="10" fontId="7" fillId="3" borderId="0" xfId="0" applyNumberFormat="1" applyFont="1" applyFill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 wrapText="1"/>
    </xf>
    <xf numFmtId="9" fontId="7" fillId="0" borderId="0" xfId="2" applyFont="1" applyAlignment="1">
      <alignment horizontal="center" vertical="center" wrapText="1"/>
    </xf>
    <xf numFmtId="9" fontId="7" fillId="3" borderId="0" xfId="2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2" fillId="0" borderId="0" xfId="1" applyAlignment="1">
      <alignment vertical="center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/>
    <xf numFmtId="0" fontId="0" fillId="3" borderId="0" xfId="0" applyFill="1"/>
    <xf numFmtId="0" fontId="9" fillId="3" borderId="0" xfId="0" applyFont="1" applyFill="1" applyAlignment="1">
      <alignment vertical="center" wrapText="1"/>
    </xf>
    <xf numFmtId="164" fontId="0" fillId="3" borderId="0" xfId="0" applyNumberFormat="1" applyFill="1"/>
    <xf numFmtId="164" fontId="0" fillId="3" borderId="0" xfId="3" applyNumberFormat="1" applyFont="1" applyFill="1"/>
    <xf numFmtId="0" fontId="9" fillId="3" borderId="0" xfId="1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164" fontId="11" fillId="2" borderId="0" xfId="0" applyNumberFormat="1" applyFont="1" applyFill="1" applyAlignment="1">
      <alignment vertical="center"/>
    </xf>
    <xf numFmtId="164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6" fillId="2" borderId="0" xfId="0" applyFont="1" applyFill="1"/>
    <xf numFmtId="164" fontId="6" fillId="2" borderId="0" xfId="0" applyNumberFormat="1" applyFon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6" fillId="2" borderId="0" xfId="3" applyNumberFormat="1" applyFont="1" applyFill="1"/>
    <xf numFmtId="164" fontId="6" fillId="2" borderId="0" xfId="3" applyNumberFormat="1" applyFont="1" applyFill="1" applyAlignment="1">
      <alignment vertical="center"/>
    </xf>
    <xf numFmtId="164" fontId="0" fillId="0" borderId="0" xfId="3" applyNumberFormat="1" applyFont="1" applyAlignment="1">
      <alignment vertical="center"/>
    </xf>
    <xf numFmtId="0" fontId="6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164" fontId="0" fillId="3" borderId="0" xfId="3" applyNumberFormat="1" applyFont="1" applyFill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164" fontId="6" fillId="2" borderId="0" xfId="0" applyNumberFormat="1" applyFont="1" applyFill="1" applyAlignment="1">
      <alignment horizontal="left" vertical="center" wrapText="1"/>
    </xf>
    <xf numFmtId="164" fontId="6" fillId="2" borderId="0" xfId="3" applyNumberFormat="1" applyFont="1" applyFill="1" applyAlignment="1">
      <alignment horizontal="left" vertical="center" wrapText="1"/>
    </xf>
    <xf numFmtId="9" fontId="7" fillId="0" borderId="0" xfId="2" applyFont="1" applyFill="1" applyAlignment="1">
      <alignment horizontal="center" vertical="center" wrapText="1"/>
    </xf>
    <xf numFmtId="164" fontId="0" fillId="4" borderId="0" xfId="0" applyNumberFormat="1" applyFill="1" applyAlignment="1">
      <alignment vertical="center" wrapText="1"/>
    </xf>
    <xf numFmtId="0" fontId="2" fillId="0" borderId="0" xfId="1"/>
    <xf numFmtId="164" fontId="9" fillId="5" borderId="0" xfId="0" applyNumberFormat="1" applyFont="1" applyFill="1" applyAlignment="1">
      <alignment vertical="center"/>
    </xf>
    <xf numFmtId="164" fontId="0" fillId="6" borderId="0" xfId="0" applyNumberFormat="1" applyFill="1" applyAlignment="1">
      <alignment vertical="center"/>
    </xf>
  </cellXfs>
  <cellStyles count="4">
    <cellStyle name="Currency" xfId="3" builtinId="4"/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otrac.com/wnba/rankings/player/_/year/2019/sort/cap_bas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otrac.com/wnba/rankings/player/_/year/2020/team/was/sort/cap_bas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herhoopstats.com/salary-cap-sheet/wnba/team/2025/minnesota-lynx-11eaecc7-357c-772c-b611-2362f5011b0b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herhoopstats.com/salary-cap-sheet/wnba/team/2025/minnesota-lynx-11eaecc7-357c-772c-b611-2362f5011b0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DF06-A418-BD4F-917B-CFECB43E994A}">
  <dimension ref="A1:P25"/>
  <sheetViews>
    <sheetView tabSelected="1" zoomScaleNormal="150" workbookViewId="0">
      <pane ySplit="1" topLeftCell="A3" activePane="bottomLeft" state="frozen"/>
      <selection pane="bottomLeft" activeCell="C28" sqref="C28"/>
    </sheetView>
  </sheetViews>
  <sheetFormatPr baseColWidth="10" defaultRowHeight="16" x14ac:dyDescent="0.2"/>
  <cols>
    <col min="1" max="1" width="10.6640625" style="12" customWidth="1"/>
    <col min="2" max="2" width="19" style="12" customWidth="1"/>
    <col min="3" max="3" width="17.6640625" customWidth="1"/>
    <col min="4" max="4" width="11.5" style="12" customWidth="1"/>
    <col min="5" max="5" width="20.33203125" style="12" customWidth="1"/>
    <col min="6" max="6" width="18.6640625" style="12" customWidth="1"/>
    <col min="7" max="8" width="14.83203125" style="12" customWidth="1"/>
    <col min="9" max="9" width="16.33203125" style="12" customWidth="1"/>
    <col min="10" max="11" width="19.5" style="12" customWidth="1"/>
    <col min="12" max="13" width="18.1640625" style="12" customWidth="1"/>
    <col min="14" max="16" width="15.83203125" style="12" customWidth="1"/>
    <col min="17" max="16384" width="10.83203125" style="12"/>
  </cols>
  <sheetData>
    <row r="1" spans="1:16" s="11" customFormat="1" ht="46" customHeight="1" x14ac:dyDescent="0.2">
      <c r="A1" s="13" t="s">
        <v>0</v>
      </c>
      <c r="B1" s="13" t="s">
        <v>1</v>
      </c>
      <c r="C1" s="13" t="s">
        <v>435</v>
      </c>
      <c r="D1" s="13" t="s">
        <v>47</v>
      </c>
      <c r="E1" s="13" t="s">
        <v>46</v>
      </c>
      <c r="F1" s="13" t="s">
        <v>45</v>
      </c>
      <c r="G1" s="13" t="s">
        <v>44</v>
      </c>
      <c r="H1" s="13" t="s">
        <v>43</v>
      </c>
      <c r="I1" s="13" t="s">
        <v>42</v>
      </c>
      <c r="J1" s="13" t="s">
        <v>418</v>
      </c>
      <c r="K1" s="13" t="s">
        <v>41</v>
      </c>
      <c r="L1" s="13" t="s">
        <v>419</v>
      </c>
      <c r="M1" s="13" t="s">
        <v>420</v>
      </c>
      <c r="N1" s="13" t="s">
        <v>432</v>
      </c>
      <c r="O1" s="13" t="s">
        <v>433</v>
      </c>
      <c r="P1" s="13" t="s">
        <v>434</v>
      </c>
    </row>
    <row r="2" spans="1:16" ht="17" x14ac:dyDescent="0.2">
      <c r="A2" s="14">
        <v>2003</v>
      </c>
      <c r="B2" s="17">
        <v>622000</v>
      </c>
      <c r="D2" s="16"/>
      <c r="E2" s="17">
        <v>30000</v>
      </c>
      <c r="F2" s="17">
        <v>85000</v>
      </c>
      <c r="G2" s="21"/>
      <c r="H2" s="21" t="s">
        <v>2</v>
      </c>
      <c r="I2" s="14" t="s">
        <v>3</v>
      </c>
      <c r="J2" s="11"/>
      <c r="K2" s="11"/>
    </row>
    <row r="3" spans="1:16" ht="17" x14ac:dyDescent="0.2">
      <c r="A3" s="14">
        <v>2004</v>
      </c>
      <c r="B3" s="17">
        <v>647000</v>
      </c>
      <c r="D3" s="16" t="s">
        <v>4</v>
      </c>
      <c r="E3" s="17">
        <v>30600</v>
      </c>
      <c r="F3" s="17">
        <v>87000</v>
      </c>
      <c r="G3" s="21" t="s">
        <v>5</v>
      </c>
      <c r="H3" s="21" t="s">
        <v>6</v>
      </c>
      <c r="I3" s="14" t="s">
        <v>7</v>
      </c>
      <c r="J3" s="11"/>
      <c r="K3" s="11"/>
    </row>
    <row r="4" spans="1:16" ht="17" x14ac:dyDescent="0.2">
      <c r="A4" s="14">
        <v>2005</v>
      </c>
      <c r="B4" s="17">
        <v>673000</v>
      </c>
      <c r="D4" s="16" t="s">
        <v>4</v>
      </c>
      <c r="E4" s="17">
        <v>31200</v>
      </c>
      <c r="F4" s="17">
        <v>89000</v>
      </c>
      <c r="G4" s="21" t="s">
        <v>8</v>
      </c>
      <c r="H4" s="21" t="s">
        <v>9</v>
      </c>
      <c r="I4" s="14" t="s">
        <v>10</v>
      </c>
      <c r="J4" s="11"/>
      <c r="K4" s="11"/>
    </row>
    <row r="5" spans="1:16" ht="17" x14ac:dyDescent="0.2">
      <c r="A5" s="14">
        <v>2006</v>
      </c>
      <c r="B5" s="17">
        <v>700000</v>
      </c>
      <c r="D5" s="16" t="s">
        <v>4</v>
      </c>
      <c r="E5" s="17">
        <v>31800</v>
      </c>
      <c r="F5" s="17">
        <v>91000</v>
      </c>
      <c r="G5" s="21" t="s">
        <v>11</v>
      </c>
      <c r="H5" s="21" t="s">
        <v>12</v>
      </c>
      <c r="I5" s="14" t="s">
        <v>13</v>
      </c>
      <c r="J5" s="11"/>
      <c r="K5" s="11"/>
    </row>
    <row r="6" spans="1:16" ht="17" x14ac:dyDescent="0.2">
      <c r="A6" s="14">
        <v>2007</v>
      </c>
      <c r="B6" s="17">
        <v>728000</v>
      </c>
      <c r="D6" s="16" t="s">
        <v>4</v>
      </c>
      <c r="E6" s="17">
        <v>32400</v>
      </c>
      <c r="F6" s="17">
        <v>93000</v>
      </c>
      <c r="G6" s="21" t="s">
        <v>11</v>
      </c>
      <c r="H6" s="21" t="s">
        <v>12</v>
      </c>
      <c r="I6" s="14" t="s">
        <v>14</v>
      </c>
      <c r="J6" s="11"/>
      <c r="K6" s="11"/>
    </row>
    <row r="7" spans="1:16" ht="17" x14ac:dyDescent="0.2">
      <c r="A7" s="14">
        <v>2008</v>
      </c>
      <c r="B7" s="17">
        <v>772000</v>
      </c>
      <c r="D7" s="16" t="s">
        <v>15</v>
      </c>
      <c r="E7" s="17">
        <v>34500</v>
      </c>
      <c r="F7" s="17">
        <v>97500</v>
      </c>
      <c r="G7" s="21" t="s">
        <v>2</v>
      </c>
      <c r="H7" s="21" t="s">
        <v>12</v>
      </c>
      <c r="I7" s="14" t="s">
        <v>16</v>
      </c>
      <c r="J7" s="11"/>
      <c r="K7" s="11"/>
    </row>
    <row r="8" spans="1:16" ht="17" x14ac:dyDescent="0.2">
      <c r="A8" s="14">
        <v>2009</v>
      </c>
      <c r="B8" s="17">
        <v>803000</v>
      </c>
      <c r="D8" s="16" t="s">
        <v>4</v>
      </c>
      <c r="E8" s="17">
        <v>35190</v>
      </c>
      <c r="F8" s="17">
        <v>99500</v>
      </c>
      <c r="G8" s="21" t="s">
        <v>17</v>
      </c>
      <c r="H8" s="21" t="s">
        <v>18</v>
      </c>
      <c r="I8" s="14" t="s">
        <v>19</v>
      </c>
      <c r="J8" s="11"/>
      <c r="K8" s="11"/>
    </row>
    <row r="9" spans="1:16" ht="17" x14ac:dyDescent="0.2">
      <c r="A9" s="14">
        <v>2010</v>
      </c>
      <c r="B9" s="17">
        <v>827000</v>
      </c>
      <c r="D9" s="16" t="s">
        <v>20</v>
      </c>
      <c r="E9" s="17">
        <v>35880</v>
      </c>
      <c r="F9" s="17">
        <v>101500</v>
      </c>
      <c r="G9" s="21" t="s">
        <v>21</v>
      </c>
      <c r="H9" s="21" t="s">
        <v>22</v>
      </c>
      <c r="I9" s="14" t="s">
        <v>23</v>
      </c>
      <c r="J9" s="11"/>
      <c r="K9" s="11"/>
    </row>
    <row r="10" spans="1:16" ht="17" x14ac:dyDescent="0.2">
      <c r="A10" s="14">
        <v>2011</v>
      </c>
      <c r="B10" s="17">
        <v>852000</v>
      </c>
      <c r="D10" s="16" t="s">
        <v>20</v>
      </c>
      <c r="E10" s="17">
        <v>36750</v>
      </c>
      <c r="F10" s="17">
        <v>103500</v>
      </c>
      <c r="G10" s="21" t="s">
        <v>21</v>
      </c>
      <c r="H10" s="21" t="s">
        <v>22</v>
      </c>
      <c r="I10" s="14" t="s">
        <v>24</v>
      </c>
      <c r="J10" s="11"/>
      <c r="K10" s="11"/>
    </row>
    <row r="11" spans="1:16" ht="17" x14ac:dyDescent="0.2">
      <c r="A11" s="14">
        <v>2012</v>
      </c>
      <c r="B11" s="17">
        <v>878000</v>
      </c>
      <c r="D11" s="16" t="s">
        <v>25</v>
      </c>
      <c r="E11" s="17">
        <v>37260</v>
      </c>
      <c r="F11" s="17">
        <v>105500</v>
      </c>
      <c r="G11" s="21" t="s">
        <v>26</v>
      </c>
      <c r="H11" s="21" t="s">
        <v>27</v>
      </c>
      <c r="I11" s="14" t="s">
        <v>28</v>
      </c>
      <c r="J11" s="11"/>
      <c r="K11" s="11"/>
    </row>
    <row r="12" spans="1:16" ht="17" x14ac:dyDescent="0.2">
      <c r="A12" s="14">
        <v>2013</v>
      </c>
      <c r="B12" s="17">
        <v>913000</v>
      </c>
      <c r="D12" s="16" t="s">
        <v>4</v>
      </c>
      <c r="E12" s="17">
        <v>37950</v>
      </c>
      <c r="F12" s="17">
        <v>107500</v>
      </c>
      <c r="G12" s="21" t="s">
        <v>26</v>
      </c>
      <c r="H12" s="21" t="s">
        <v>27</v>
      </c>
      <c r="I12" s="14" t="s">
        <v>29</v>
      </c>
      <c r="J12" s="11"/>
      <c r="K12" s="11"/>
    </row>
    <row r="13" spans="1:16" ht="17" x14ac:dyDescent="0.2">
      <c r="A13" s="14">
        <v>2014</v>
      </c>
      <c r="B13" s="17">
        <v>901000</v>
      </c>
      <c r="D13" s="16" t="s">
        <v>30</v>
      </c>
      <c r="E13" s="17">
        <v>38150</v>
      </c>
      <c r="F13" s="17">
        <v>107500</v>
      </c>
      <c r="G13" s="21" t="s">
        <v>31</v>
      </c>
      <c r="H13" s="21" t="s">
        <v>27</v>
      </c>
      <c r="I13" s="14" t="s">
        <v>32</v>
      </c>
      <c r="J13" s="11"/>
      <c r="K13" s="11"/>
    </row>
    <row r="14" spans="1:16" ht="17" x14ac:dyDescent="0.2">
      <c r="A14" s="14">
        <v>2015</v>
      </c>
      <c r="B14" s="17">
        <v>919300</v>
      </c>
      <c r="D14" s="16" t="s">
        <v>21</v>
      </c>
      <c r="E14" s="18">
        <v>38913</v>
      </c>
      <c r="F14" s="17">
        <v>109500</v>
      </c>
      <c r="G14" s="21" t="s">
        <v>26</v>
      </c>
      <c r="H14" s="21" t="s">
        <v>27</v>
      </c>
      <c r="I14" s="14" t="s">
        <v>32</v>
      </c>
      <c r="J14" s="11"/>
      <c r="K14" s="11"/>
    </row>
    <row r="15" spans="1:16" ht="17" x14ac:dyDescent="0.2">
      <c r="A15" s="14">
        <v>2016</v>
      </c>
      <c r="B15" s="17">
        <v>937900</v>
      </c>
      <c r="D15" s="16" t="s">
        <v>21</v>
      </c>
      <c r="E15" s="18">
        <v>39676</v>
      </c>
      <c r="F15" s="17">
        <v>111500</v>
      </c>
      <c r="G15" s="21" t="s">
        <v>33</v>
      </c>
      <c r="H15" s="21" t="s">
        <v>27</v>
      </c>
      <c r="I15" s="14" t="s">
        <v>32</v>
      </c>
      <c r="J15" s="11"/>
      <c r="K15" s="11"/>
    </row>
    <row r="16" spans="1:16" ht="17" x14ac:dyDescent="0.2">
      <c r="A16" s="14">
        <v>2017</v>
      </c>
      <c r="B16" s="17">
        <v>956900</v>
      </c>
      <c r="D16" s="16" t="s">
        <v>21</v>
      </c>
      <c r="E16" s="17">
        <v>40439</v>
      </c>
      <c r="F16" s="17">
        <v>113500</v>
      </c>
      <c r="G16" s="21" t="s">
        <v>33</v>
      </c>
      <c r="H16" s="21" t="s">
        <v>27</v>
      </c>
      <c r="I16" s="14" t="s">
        <v>32</v>
      </c>
      <c r="J16" s="11"/>
      <c r="K16" s="11"/>
    </row>
    <row r="17" spans="1:16" ht="17" x14ac:dyDescent="0.2">
      <c r="A17" s="14">
        <v>2018</v>
      </c>
      <c r="B17" s="17">
        <v>976300</v>
      </c>
      <c r="D17" s="16" t="s">
        <v>21</v>
      </c>
      <c r="E17" s="17">
        <v>41202</v>
      </c>
      <c r="F17" s="17">
        <v>115500</v>
      </c>
      <c r="G17" s="21" t="s">
        <v>33</v>
      </c>
      <c r="H17" s="21" t="s">
        <v>27</v>
      </c>
      <c r="I17" s="14" t="s">
        <v>29</v>
      </c>
      <c r="J17" s="11"/>
      <c r="K17" s="11"/>
    </row>
    <row r="18" spans="1:16" ht="17" x14ac:dyDescent="0.2">
      <c r="A18" s="15">
        <v>2019</v>
      </c>
      <c r="B18" s="20">
        <v>996100</v>
      </c>
      <c r="C18" s="9">
        <f>2.2*B18</f>
        <v>2191420</v>
      </c>
      <c r="D18" s="19" t="s">
        <v>21</v>
      </c>
      <c r="E18" s="20">
        <v>41965</v>
      </c>
      <c r="F18" s="20">
        <v>117500</v>
      </c>
      <c r="G18" s="22" t="s">
        <v>34</v>
      </c>
      <c r="H18" s="22" t="s">
        <v>27</v>
      </c>
      <c r="I18" s="15" t="s">
        <v>29</v>
      </c>
      <c r="J18" s="52">
        <f>ROUND(AVERAGE('2019'!B2:B150),2)</f>
        <v>77357.070000000007</v>
      </c>
      <c r="K18" s="54">
        <f>ROUND(AVERAGE('2019'!B:B),2)</f>
        <v>74905.820000000007</v>
      </c>
      <c r="L18" s="54">
        <f>ROUND(MIN('2019'!B:B),2)</f>
        <v>2723</v>
      </c>
      <c r="M18" s="54">
        <f>ROUND(MAX('2019'!B:B),2)</f>
        <v>127500</v>
      </c>
      <c r="N18" s="55">
        <f>K18/0.186</f>
        <v>402719.46236559143</v>
      </c>
      <c r="O18" s="55">
        <f t="shared" ref="O18:P24" si="0">L18/0.186</f>
        <v>14639.784946236559</v>
      </c>
      <c r="P18" s="55">
        <f t="shared" si="0"/>
        <v>685483.87096774194</v>
      </c>
    </row>
    <row r="19" spans="1:16" ht="17" x14ac:dyDescent="0.2">
      <c r="A19" s="15">
        <v>2020</v>
      </c>
      <c r="B19" s="20">
        <v>1300000</v>
      </c>
      <c r="C19" s="9">
        <f t="shared" ref="C19:C24" si="1">2.2*B19</f>
        <v>2860000</v>
      </c>
      <c r="D19" s="19" t="s">
        <v>35</v>
      </c>
      <c r="E19" s="20">
        <v>57000</v>
      </c>
      <c r="F19" s="20">
        <v>215000</v>
      </c>
      <c r="G19" s="22" t="s">
        <v>36</v>
      </c>
      <c r="H19" s="22" t="s">
        <v>18</v>
      </c>
      <c r="I19" s="15" t="s">
        <v>37</v>
      </c>
      <c r="J19" s="52">
        <f>ROUND(AVERAGE('2020'!C2:C163),2)</f>
        <v>94367.5</v>
      </c>
      <c r="K19" s="54">
        <f>ROUND(AVERAGE('2020'!C:C),2)</f>
        <v>90791.5</v>
      </c>
      <c r="L19" s="54">
        <f>ROUND(MIN('2020'!C:C),2)</f>
        <v>4560</v>
      </c>
      <c r="M19" s="54">
        <f>ROUND(MAX('2020'!C:C),2)</f>
        <v>215000</v>
      </c>
      <c r="N19" s="55">
        <f t="shared" ref="N19:N24" si="2">K19/0.186</f>
        <v>488126.34408602153</v>
      </c>
      <c r="O19" s="55">
        <f t="shared" si="0"/>
        <v>24516.129032258064</v>
      </c>
      <c r="P19" s="55">
        <f t="shared" si="0"/>
        <v>1155913.9784946237</v>
      </c>
    </row>
    <row r="20" spans="1:16" ht="17" x14ac:dyDescent="0.2">
      <c r="A20" s="15">
        <v>2021</v>
      </c>
      <c r="B20" s="20">
        <v>1339000</v>
      </c>
      <c r="C20" s="9">
        <f t="shared" si="1"/>
        <v>2945800.0000000005</v>
      </c>
      <c r="D20" s="19" t="s">
        <v>20</v>
      </c>
      <c r="E20" s="20">
        <v>58710</v>
      </c>
      <c r="F20" s="20">
        <v>221450</v>
      </c>
      <c r="G20" s="22" t="s">
        <v>20</v>
      </c>
      <c r="H20" s="22" t="s">
        <v>18</v>
      </c>
      <c r="I20" s="15" t="s">
        <v>37</v>
      </c>
      <c r="J20" s="52">
        <f>ROUND(AVERAGE('2021'!B2:B135),2)</f>
        <v>113064.63</v>
      </c>
      <c r="K20" s="54">
        <f>ROUND(AVERAGE('2021'!B:B),2)</f>
        <v>99166.57</v>
      </c>
      <c r="L20" s="54">
        <f>ROUND(MIN('2021'!B:B),2)</f>
        <v>1391</v>
      </c>
      <c r="M20" s="54">
        <f>ROUND(MAX('2021'!B:B),2)</f>
        <v>221450</v>
      </c>
      <c r="N20" s="55">
        <f t="shared" si="2"/>
        <v>533153.60215053766</v>
      </c>
      <c r="O20" s="55">
        <f t="shared" si="0"/>
        <v>7478.4946236559144</v>
      </c>
      <c r="P20" s="55">
        <f t="shared" si="0"/>
        <v>1190591.3978494625</v>
      </c>
    </row>
    <row r="21" spans="1:16" ht="17" x14ac:dyDescent="0.2">
      <c r="A21" s="15">
        <v>2022</v>
      </c>
      <c r="B21" s="20">
        <v>1379200</v>
      </c>
      <c r="C21" s="9">
        <f t="shared" si="1"/>
        <v>3034240.0000000005</v>
      </c>
      <c r="D21" s="19" t="s">
        <v>20</v>
      </c>
      <c r="E21" s="20">
        <v>60471</v>
      </c>
      <c r="F21" s="20">
        <v>228094</v>
      </c>
      <c r="G21" s="22" t="s">
        <v>20</v>
      </c>
      <c r="H21" s="22" t="s">
        <v>18</v>
      </c>
      <c r="I21" s="15" t="s">
        <v>37</v>
      </c>
      <c r="J21" s="52">
        <f>ROUND(AVERAGE('2022'!B2:B132),2)</f>
        <v>119519.47</v>
      </c>
      <c r="K21" s="54">
        <f>ROUND(AVERAGE('2022'!B:N),2)</f>
        <v>97813.72</v>
      </c>
      <c r="L21" s="54">
        <f>ROUND(MIN('2022'!B:N),2)</f>
        <v>2245</v>
      </c>
      <c r="M21" s="54">
        <f>ROUND(MAX('2022'!B:N),2)</f>
        <v>228094</v>
      </c>
      <c r="N21" s="55">
        <f t="shared" si="2"/>
        <v>525880.21505376347</v>
      </c>
      <c r="O21" s="55">
        <f t="shared" si="0"/>
        <v>12069.89247311828</v>
      </c>
      <c r="P21" s="55">
        <f t="shared" si="0"/>
        <v>1226311.8279569892</v>
      </c>
    </row>
    <row r="22" spans="1:16" ht="17" x14ac:dyDescent="0.2">
      <c r="A22" s="15">
        <v>2023</v>
      </c>
      <c r="B22" s="20">
        <v>1420500</v>
      </c>
      <c r="C22" s="9">
        <f t="shared" si="1"/>
        <v>3125100.0000000005</v>
      </c>
      <c r="D22" s="19" t="s">
        <v>20</v>
      </c>
      <c r="E22" s="20">
        <v>62285</v>
      </c>
      <c r="F22" s="20">
        <v>234936</v>
      </c>
      <c r="G22" s="22" t="s">
        <v>20</v>
      </c>
      <c r="H22" s="22" t="s">
        <v>18</v>
      </c>
      <c r="I22" s="15" t="s">
        <v>37</v>
      </c>
      <c r="J22" s="52">
        <f>ROUND(AVERAGE('2023'!C2:C135),2)</f>
        <v>122058.69</v>
      </c>
      <c r="K22" s="54">
        <f>ROUND(AVERAGE('2023'!C:C),2)</f>
        <v>115425.65</v>
      </c>
      <c r="L22" s="54">
        <f>ROUND(MIN('2023'!C:C),2)</f>
        <v>1625</v>
      </c>
      <c r="M22" s="54">
        <f>ROUND(MAX('2023'!C:C),2)</f>
        <v>242154</v>
      </c>
      <c r="N22" s="55">
        <f t="shared" si="2"/>
        <v>620568.01075268816</v>
      </c>
      <c r="O22" s="55">
        <f t="shared" si="0"/>
        <v>8736.5591397849457</v>
      </c>
      <c r="P22" s="55">
        <f t="shared" si="0"/>
        <v>1301903.2258064516</v>
      </c>
    </row>
    <row r="23" spans="1:16" ht="17" x14ac:dyDescent="0.2">
      <c r="A23" s="15">
        <v>2024</v>
      </c>
      <c r="B23" s="20">
        <v>1463200</v>
      </c>
      <c r="C23" s="9">
        <f t="shared" si="1"/>
        <v>3219040.0000000005</v>
      </c>
      <c r="D23" s="19" t="s">
        <v>20</v>
      </c>
      <c r="E23" s="20">
        <v>64154</v>
      </c>
      <c r="F23" s="20">
        <v>241984</v>
      </c>
      <c r="G23" s="22" t="s">
        <v>20</v>
      </c>
      <c r="H23" s="22" t="s">
        <v>18</v>
      </c>
      <c r="I23" s="15" t="s">
        <v>37</v>
      </c>
      <c r="J23" s="52">
        <f>ROUND(AVERAGE('2024'!C7:C130),2)</f>
        <v>121666.57</v>
      </c>
      <c r="K23" s="54">
        <f>ROUND(AVERAGE('2024'!C:C),2)</f>
        <v>114452.64</v>
      </c>
      <c r="L23" s="54">
        <f>ROUND(MIN('2024'!C:C),2)</f>
        <v>635</v>
      </c>
      <c r="M23" s="54">
        <f>ROUND(MAX('2024'!C:C),2)</f>
        <v>241984</v>
      </c>
      <c r="N23" s="55">
        <f t="shared" si="2"/>
        <v>615336.77419354836</v>
      </c>
      <c r="O23" s="55">
        <f t="shared" si="0"/>
        <v>3413.9784946236559</v>
      </c>
      <c r="P23" s="55">
        <f t="shared" si="0"/>
        <v>1300989.247311828</v>
      </c>
    </row>
    <row r="24" spans="1:16" ht="17" x14ac:dyDescent="0.2">
      <c r="A24" s="15">
        <v>2025</v>
      </c>
      <c r="B24" s="20">
        <v>1507100</v>
      </c>
      <c r="C24" s="9">
        <f t="shared" si="1"/>
        <v>3315620.0000000005</v>
      </c>
      <c r="D24" s="19" t="s">
        <v>20</v>
      </c>
      <c r="E24" s="20">
        <v>66079</v>
      </c>
      <c r="F24" s="20">
        <v>249244</v>
      </c>
      <c r="G24" s="22" t="s">
        <v>20</v>
      </c>
      <c r="H24" s="22" t="s">
        <v>18</v>
      </c>
      <c r="I24" s="15" t="s">
        <v>37</v>
      </c>
      <c r="J24" s="52">
        <f>ROUND(AVERAGE('2025'!C2:C134),2)</f>
        <v>121930.49</v>
      </c>
      <c r="K24" s="54">
        <f>ROUND(AVERAGE('2025'!C:C),2)</f>
        <v>103772.6</v>
      </c>
      <c r="L24" s="54">
        <f>ROUND(MIN('2025'!C:C),2)</f>
        <v>833</v>
      </c>
      <c r="M24" s="54">
        <f>ROUND(MAX('2025'!C:C),2)</f>
        <v>269244</v>
      </c>
      <c r="N24" s="55">
        <f t="shared" si="2"/>
        <v>557917.20430107531</v>
      </c>
      <c r="O24" s="55">
        <f t="shared" si="0"/>
        <v>4478.4946236559144</v>
      </c>
      <c r="P24" s="55">
        <f t="shared" si="0"/>
        <v>1447548.3870967743</v>
      </c>
    </row>
    <row r="25" spans="1:16" ht="17" x14ac:dyDescent="0.2">
      <c r="A25" s="14">
        <v>2026</v>
      </c>
      <c r="B25" s="17">
        <v>5000000</v>
      </c>
      <c r="D25" s="16" t="s">
        <v>38</v>
      </c>
      <c r="E25" s="17">
        <v>219226</v>
      </c>
      <c r="F25" s="17">
        <v>1000000</v>
      </c>
      <c r="G25" s="51" t="s">
        <v>39</v>
      </c>
      <c r="H25" s="51" t="s">
        <v>18</v>
      </c>
      <c r="I25" s="14" t="s">
        <v>40</v>
      </c>
      <c r="J25" s="11"/>
      <c r="K25" s="1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1BCE-0A72-374E-877D-387F64EAAA1F}">
  <dimension ref="A1:C156"/>
  <sheetViews>
    <sheetView zoomScale="143" workbookViewId="0">
      <selection sqref="A1:B1048576"/>
    </sheetView>
  </sheetViews>
  <sheetFormatPr baseColWidth="10" defaultColWidth="18.6640625" defaultRowHeight="16" x14ac:dyDescent="0.2"/>
  <cols>
    <col min="1" max="1" width="28.6640625" customWidth="1"/>
    <col min="2" max="2" width="25.83203125" style="9" customWidth="1"/>
    <col min="3" max="3" width="69.83203125" customWidth="1"/>
  </cols>
  <sheetData>
    <row r="1" spans="1:3" ht="29" customHeight="1" x14ac:dyDescent="0.2">
      <c r="A1" s="34" t="s">
        <v>390</v>
      </c>
      <c r="B1" s="35" t="s">
        <v>205</v>
      </c>
      <c r="C1" s="24" t="s">
        <v>229</v>
      </c>
    </row>
    <row r="2" spans="1:3" x14ac:dyDescent="0.2">
      <c r="A2" s="37" t="s">
        <v>48</v>
      </c>
      <c r="B2" s="38">
        <v>127500</v>
      </c>
      <c r="C2" s="12"/>
    </row>
    <row r="3" spans="1:3" x14ac:dyDescent="0.2">
      <c r="A3" s="37" t="s">
        <v>49</v>
      </c>
      <c r="B3" s="38">
        <v>117500</v>
      </c>
      <c r="C3" s="12"/>
    </row>
    <row r="4" spans="1:3" x14ac:dyDescent="0.2">
      <c r="A4" s="37" t="s">
        <v>50</v>
      </c>
      <c r="B4" s="38">
        <v>117500</v>
      </c>
      <c r="C4" s="12"/>
    </row>
    <row r="5" spans="1:3" x14ac:dyDescent="0.2">
      <c r="A5" s="37" t="s">
        <v>51</v>
      </c>
      <c r="B5" s="38">
        <v>117500</v>
      </c>
      <c r="C5" s="12"/>
    </row>
    <row r="6" spans="1:3" x14ac:dyDescent="0.2">
      <c r="A6" s="37" t="s">
        <v>52</v>
      </c>
      <c r="B6" s="38">
        <v>117500</v>
      </c>
      <c r="C6" s="12"/>
    </row>
    <row r="7" spans="1:3" x14ac:dyDescent="0.2">
      <c r="A7" s="37" t="s">
        <v>53</v>
      </c>
      <c r="B7" s="38">
        <v>117500</v>
      </c>
      <c r="C7" s="12"/>
    </row>
    <row r="8" spans="1:3" x14ac:dyDescent="0.2">
      <c r="A8" s="37" t="s">
        <v>54</v>
      </c>
      <c r="B8" s="38">
        <v>117500</v>
      </c>
      <c r="C8" s="12"/>
    </row>
    <row r="9" spans="1:3" x14ac:dyDescent="0.2">
      <c r="A9" s="37" t="s">
        <v>55</v>
      </c>
      <c r="B9" s="38">
        <v>117500</v>
      </c>
      <c r="C9" s="12"/>
    </row>
    <row r="10" spans="1:3" x14ac:dyDescent="0.2">
      <c r="A10" s="37" t="s">
        <v>56</v>
      </c>
      <c r="B10" s="38">
        <v>117500</v>
      </c>
      <c r="C10" s="12"/>
    </row>
    <row r="11" spans="1:3" x14ac:dyDescent="0.2">
      <c r="A11" s="37" t="s">
        <v>57</v>
      </c>
      <c r="B11" s="38">
        <v>117500</v>
      </c>
      <c r="C11" s="12"/>
    </row>
    <row r="12" spans="1:3" x14ac:dyDescent="0.2">
      <c r="A12" s="37" t="s">
        <v>58</v>
      </c>
      <c r="B12" s="38">
        <v>117500</v>
      </c>
      <c r="C12" s="12"/>
    </row>
    <row r="13" spans="1:3" x14ac:dyDescent="0.2">
      <c r="A13" s="37" t="s">
        <v>59</v>
      </c>
      <c r="B13" s="38">
        <v>117500</v>
      </c>
      <c r="C13" s="12"/>
    </row>
    <row r="14" spans="1:3" x14ac:dyDescent="0.2">
      <c r="A14" s="37" t="s">
        <v>60</v>
      </c>
      <c r="B14" s="38">
        <v>117500</v>
      </c>
      <c r="C14" s="12"/>
    </row>
    <row r="15" spans="1:3" x14ac:dyDescent="0.2">
      <c r="A15" s="37" t="s">
        <v>61</v>
      </c>
      <c r="B15" s="38">
        <v>117500</v>
      </c>
      <c r="C15" s="12"/>
    </row>
    <row r="16" spans="1:3" x14ac:dyDescent="0.2">
      <c r="A16" s="37" t="s">
        <v>62</v>
      </c>
      <c r="B16" s="38">
        <v>117500</v>
      </c>
      <c r="C16" s="12"/>
    </row>
    <row r="17" spans="1:3" x14ac:dyDescent="0.2">
      <c r="A17" s="37" t="s">
        <v>63</v>
      </c>
      <c r="B17" s="38">
        <v>117500</v>
      </c>
      <c r="C17" s="12"/>
    </row>
    <row r="18" spans="1:3" x14ac:dyDescent="0.2">
      <c r="A18" s="37" t="s">
        <v>64</v>
      </c>
      <c r="B18" s="38">
        <v>117000</v>
      </c>
      <c r="C18" s="12"/>
    </row>
    <row r="19" spans="1:3" x14ac:dyDescent="0.2">
      <c r="A19" s="37" t="s">
        <v>65</v>
      </c>
      <c r="B19" s="38">
        <v>115260</v>
      </c>
      <c r="C19" s="12"/>
    </row>
    <row r="20" spans="1:3" x14ac:dyDescent="0.2">
      <c r="A20" s="37" t="s">
        <v>66</v>
      </c>
      <c r="B20" s="38">
        <v>115000</v>
      </c>
      <c r="C20" s="12"/>
    </row>
    <row r="21" spans="1:3" x14ac:dyDescent="0.2">
      <c r="A21" s="37" t="s">
        <v>67</v>
      </c>
      <c r="B21" s="38">
        <v>115000</v>
      </c>
      <c r="C21" s="12"/>
    </row>
    <row r="22" spans="1:3" x14ac:dyDescent="0.2">
      <c r="A22" s="37" t="s">
        <v>68</v>
      </c>
      <c r="B22" s="38">
        <v>115000</v>
      </c>
      <c r="C22" s="12"/>
    </row>
    <row r="23" spans="1:3" x14ac:dyDescent="0.2">
      <c r="A23" s="37" t="s">
        <v>69</v>
      </c>
      <c r="B23" s="38">
        <v>115000</v>
      </c>
      <c r="C23" s="12"/>
    </row>
    <row r="24" spans="1:3" x14ac:dyDescent="0.2">
      <c r="A24" s="37" t="s">
        <v>70</v>
      </c>
      <c r="B24" s="38">
        <v>115000</v>
      </c>
      <c r="C24" s="12"/>
    </row>
    <row r="25" spans="1:3" x14ac:dyDescent="0.2">
      <c r="A25" s="37" t="s">
        <v>71</v>
      </c>
      <c r="B25" s="38">
        <v>115000</v>
      </c>
      <c r="C25" s="12"/>
    </row>
    <row r="26" spans="1:3" x14ac:dyDescent="0.2">
      <c r="A26" s="37" t="s">
        <v>72</v>
      </c>
      <c r="B26" s="38">
        <v>115000</v>
      </c>
      <c r="C26" s="12"/>
    </row>
    <row r="27" spans="1:3" x14ac:dyDescent="0.2">
      <c r="A27" s="37" t="s">
        <v>73</v>
      </c>
      <c r="B27" s="38">
        <v>115000</v>
      </c>
      <c r="C27" s="12"/>
    </row>
    <row r="28" spans="1:3" x14ac:dyDescent="0.2">
      <c r="A28" s="37" t="s">
        <v>74</v>
      </c>
      <c r="B28" s="38">
        <v>115000</v>
      </c>
      <c r="C28" s="12"/>
    </row>
    <row r="29" spans="1:3" x14ac:dyDescent="0.2">
      <c r="A29" s="37" t="s">
        <v>75</v>
      </c>
      <c r="B29" s="38">
        <v>115000</v>
      </c>
      <c r="C29" s="12"/>
    </row>
    <row r="30" spans="1:3" x14ac:dyDescent="0.2">
      <c r="A30" s="37" t="s">
        <v>76</v>
      </c>
      <c r="B30" s="38">
        <v>115000</v>
      </c>
      <c r="C30" s="12"/>
    </row>
    <row r="31" spans="1:3" x14ac:dyDescent="0.2">
      <c r="A31" s="37" t="s">
        <v>77</v>
      </c>
      <c r="B31" s="38">
        <v>115000</v>
      </c>
      <c r="C31" s="12"/>
    </row>
    <row r="32" spans="1:3" x14ac:dyDescent="0.2">
      <c r="A32" s="37" t="s">
        <v>78</v>
      </c>
      <c r="B32" s="38">
        <v>115000</v>
      </c>
      <c r="C32" s="12"/>
    </row>
    <row r="33" spans="1:3" x14ac:dyDescent="0.2">
      <c r="A33" s="37" t="s">
        <v>79</v>
      </c>
      <c r="B33" s="38">
        <v>115000</v>
      </c>
      <c r="C33" s="12"/>
    </row>
    <row r="34" spans="1:3" x14ac:dyDescent="0.2">
      <c r="A34" s="37" t="s">
        <v>80</v>
      </c>
      <c r="B34" s="38">
        <v>115000</v>
      </c>
      <c r="C34" s="12"/>
    </row>
    <row r="35" spans="1:3" x14ac:dyDescent="0.2">
      <c r="A35" s="37" t="s">
        <v>81</v>
      </c>
      <c r="B35" s="38">
        <v>115000</v>
      </c>
      <c r="C35" s="12"/>
    </row>
    <row r="36" spans="1:3" x14ac:dyDescent="0.2">
      <c r="A36" s="37" t="s">
        <v>82</v>
      </c>
      <c r="B36" s="38">
        <v>115000</v>
      </c>
      <c r="C36" s="12"/>
    </row>
    <row r="37" spans="1:3" x14ac:dyDescent="0.2">
      <c r="A37" s="37" t="s">
        <v>83</v>
      </c>
      <c r="B37" s="38">
        <v>115000</v>
      </c>
      <c r="C37" s="12"/>
    </row>
    <row r="38" spans="1:3" x14ac:dyDescent="0.2">
      <c r="A38" s="37" t="s">
        <v>84</v>
      </c>
      <c r="B38" s="38">
        <v>115000</v>
      </c>
      <c r="C38" s="12"/>
    </row>
    <row r="39" spans="1:3" x14ac:dyDescent="0.2">
      <c r="A39" s="37" t="s">
        <v>85</v>
      </c>
      <c r="B39" s="38">
        <v>113360</v>
      </c>
      <c r="C39" s="12"/>
    </row>
    <row r="40" spans="1:3" x14ac:dyDescent="0.2">
      <c r="A40" s="37" t="s">
        <v>86</v>
      </c>
      <c r="B40" s="38">
        <v>111000</v>
      </c>
      <c r="C40" s="12"/>
    </row>
    <row r="41" spans="1:3" x14ac:dyDescent="0.2">
      <c r="A41" s="37" t="s">
        <v>87</v>
      </c>
      <c r="B41" s="38">
        <v>111000</v>
      </c>
      <c r="C41" s="12"/>
    </row>
    <row r="42" spans="1:3" x14ac:dyDescent="0.2">
      <c r="A42" s="37" t="s">
        <v>88</v>
      </c>
      <c r="B42" s="38">
        <v>110000</v>
      </c>
      <c r="C42" s="12"/>
    </row>
    <row r="43" spans="1:3" x14ac:dyDescent="0.2">
      <c r="A43" s="37" t="s">
        <v>89</v>
      </c>
      <c r="B43" s="38">
        <v>110000</v>
      </c>
      <c r="C43" s="12"/>
    </row>
    <row r="44" spans="1:3" x14ac:dyDescent="0.2">
      <c r="A44" s="37" t="s">
        <v>90</v>
      </c>
      <c r="B44" s="38">
        <v>108000</v>
      </c>
      <c r="C44" s="12"/>
    </row>
    <row r="45" spans="1:3" x14ac:dyDescent="0.2">
      <c r="A45" s="37" t="s">
        <v>91</v>
      </c>
      <c r="B45" s="38">
        <v>108000</v>
      </c>
      <c r="C45" s="12"/>
    </row>
    <row r="46" spans="1:3" x14ac:dyDescent="0.2">
      <c r="A46" s="37" t="s">
        <v>92</v>
      </c>
      <c r="B46" s="38">
        <v>108000</v>
      </c>
      <c r="C46" s="12"/>
    </row>
    <row r="47" spans="1:3" x14ac:dyDescent="0.2">
      <c r="A47" s="37" t="s">
        <v>93</v>
      </c>
      <c r="B47" s="38">
        <v>107000</v>
      </c>
      <c r="C47" s="12"/>
    </row>
    <row r="48" spans="1:3" x14ac:dyDescent="0.2">
      <c r="A48" s="37" t="s">
        <v>94</v>
      </c>
      <c r="B48" s="38">
        <v>106000</v>
      </c>
      <c r="C48" s="12"/>
    </row>
    <row r="49" spans="1:3" x14ac:dyDescent="0.2">
      <c r="A49" s="37" t="s">
        <v>95</v>
      </c>
      <c r="B49" s="38">
        <v>105000</v>
      </c>
      <c r="C49" s="12"/>
    </row>
    <row r="50" spans="1:3" x14ac:dyDescent="0.2">
      <c r="A50" s="37" t="s">
        <v>96</v>
      </c>
      <c r="B50" s="38">
        <v>105000</v>
      </c>
      <c r="C50" s="12"/>
    </row>
    <row r="51" spans="1:3" x14ac:dyDescent="0.2">
      <c r="A51" s="37" t="s">
        <v>97</v>
      </c>
      <c r="B51" s="38">
        <v>105000</v>
      </c>
      <c r="C51" s="12"/>
    </row>
    <row r="52" spans="1:3" x14ac:dyDescent="0.2">
      <c r="A52" s="37" t="s">
        <v>98</v>
      </c>
      <c r="B52" s="38">
        <v>104000</v>
      </c>
      <c r="C52" s="12"/>
    </row>
    <row r="53" spans="1:3" x14ac:dyDescent="0.2">
      <c r="A53" s="37" t="s">
        <v>99</v>
      </c>
      <c r="B53" s="38">
        <v>104000</v>
      </c>
      <c r="C53" s="12"/>
    </row>
    <row r="54" spans="1:3" x14ac:dyDescent="0.2">
      <c r="A54" s="37" t="s">
        <v>100</v>
      </c>
      <c r="B54" s="38">
        <v>102000</v>
      </c>
      <c r="C54" s="12"/>
    </row>
    <row r="55" spans="1:3" x14ac:dyDescent="0.2">
      <c r="A55" s="37" t="s">
        <v>101</v>
      </c>
      <c r="B55" s="38">
        <v>102000</v>
      </c>
      <c r="C55" s="12"/>
    </row>
    <row r="56" spans="1:3" x14ac:dyDescent="0.2">
      <c r="A56" s="37" t="s">
        <v>102</v>
      </c>
      <c r="B56" s="38">
        <v>102000</v>
      </c>
      <c r="C56" s="12"/>
    </row>
    <row r="57" spans="1:3" x14ac:dyDescent="0.2">
      <c r="A57" s="37" t="s">
        <v>103</v>
      </c>
      <c r="B57" s="38">
        <v>101000</v>
      </c>
      <c r="C57" s="12"/>
    </row>
    <row r="58" spans="1:3" x14ac:dyDescent="0.2">
      <c r="A58" s="37" t="s">
        <v>104</v>
      </c>
      <c r="B58" s="38">
        <v>97600</v>
      </c>
      <c r="C58" s="12"/>
    </row>
    <row r="59" spans="1:3" x14ac:dyDescent="0.2">
      <c r="A59" s="37" t="s">
        <v>105</v>
      </c>
      <c r="B59" s="38">
        <v>96757</v>
      </c>
      <c r="C59" s="12"/>
    </row>
    <row r="60" spans="1:3" x14ac:dyDescent="0.2">
      <c r="A60" s="37" t="s">
        <v>106</v>
      </c>
      <c r="B60" s="38">
        <v>94860</v>
      </c>
      <c r="C60" s="12"/>
    </row>
    <row r="61" spans="1:3" x14ac:dyDescent="0.2">
      <c r="A61" s="37" t="s">
        <v>107</v>
      </c>
      <c r="B61" s="38">
        <v>93400</v>
      </c>
      <c r="C61" s="12"/>
    </row>
    <row r="62" spans="1:3" x14ac:dyDescent="0.2">
      <c r="A62" s="37" t="s">
        <v>108</v>
      </c>
      <c r="B62" s="38">
        <v>91000</v>
      </c>
      <c r="C62" s="12"/>
    </row>
    <row r="63" spans="1:3" x14ac:dyDescent="0.2">
      <c r="A63" s="37" t="s">
        <v>109</v>
      </c>
      <c r="B63" s="38">
        <v>86000</v>
      </c>
      <c r="C63" s="12"/>
    </row>
    <row r="64" spans="1:3" x14ac:dyDescent="0.2">
      <c r="A64" s="37" t="s">
        <v>110</v>
      </c>
      <c r="B64" s="38">
        <v>85000</v>
      </c>
      <c r="C64" s="12"/>
    </row>
    <row r="65" spans="1:3" x14ac:dyDescent="0.2">
      <c r="A65" s="37" t="s">
        <v>111</v>
      </c>
      <c r="B65" s="38">
        <v>84100</v>
      </c>
      <c r="C65" s="12"/>
    </row>
    <row r="66" spans="1:3" x14ac:dyDescent="0.2">
      <c r="A66" s="37" t="s">
        <v>112</v>
      </c>
      <c r="B66" s="38">
        <v>83300</v>
      </c>
      <c r="C66" s="12"/>
    </row>
    <row r="67" spans="1:3" x14ac:dyDescent="0.2">
      <c r="A67" s="37" t="s">
        <v>113</v>
      </c>
      <c r="B67" s="38">
        <v>80000</v>
      </c>
      <c r="C67" s="12"/>
    </row>
    <row r="68" spans="1:3" x14ac:dyDescent="0.2">
      <c r="A68" s="37" t="s">
        <v>114</v>
      </c>
      <c r="B68" s="38">
        <v>80000</v>
      </c>
      <c r="C68" s="12"/>
    </row>
    <row r="69" spans="1:3" x14ac:dyDescent="0.2">
      <c r="A69" s="37" t="s">
        <v>115</v>
      </c>
      <c r="B69" s="38">
        <v>80000</v>
      </c>
      <c r="C69" s="12"/>
    </row>
    <row r="70" spans="1:3" x14ac:dyDescent="0.2">
      <c r="A70" s="37" t="s">
        <v>116</v>
      </c>
      <c r="B70" s="38">
        <v>80000</v>
      </c>
      <c r="C70" s="12"/>
    </row>
    <row r="71" spans="1:3" x14ac:dyDescent="0.2">
      <c r="A71" s="37" t="s">
        <v>117</v>
      </c>
      <c r="B71" s="38">
        <v>72500</v>
      </c>
      <c r="C71" s="12"/>
    </row>
    <row r="72" spans="1:3" x14ac:dyDescent="0.2">
      <c r="A72" s="37" t="s">
        <v>118</v>
      </c>
      <c r="B72" s="38">
        <v>70000</v>
      </c>
      <c r="C72" s="12"/>
    </row>
    <row r="73" spans="1:3" x14ac:dyDescent="0.2">
      <c r="A73" s="37" t="s">
        <v>119</v>
      </c>
      <c r="B73" s="38">
        <v>70000</v>
      </c>
      <c r="C73" s="12"/>
    </row>
    <row r="74" spans="1:3" x14ac:dyDescent="0.2">
      <c r="A74" s="37" t="s">
        <v>120</v>
      </c>
      <c r="B74" s="38">
        <v>65000</v>
      </c>
      <c r="C74" s="12"/>
    </row>
    <row r="75" spans="1:3" x14ac:dyDescent="0.2">
      <c r="A75" s="37" t="s">
        <v>121</v>
      </c>
      <c r="B75" s="38">
        <v>65000</v>
      </c>
      <c r="C75" s="12"/>
    </row>
    <row r="76" spans="1:3" x14ac:dyDescent="0.2">
      <c r="A76" s="37" t="s">
        <v>122</v>
      </c>
      <c r="B76" s="38">
        <v>64538</v>
      </c>
      <c r="C76" s="12"/>
    </row>
    <row r="77" spans="1:3" x14ac:dyDescent="0.2">
      <c r="A77" s="37" t="s">
        <v>123</v>
      </c>
      <c r="B77" s="38">
        <v>64538</v>
      </c>
      <c r="C77" s="12"/>
    </row>
    <row r="78" spans="1:3" x14ac:dyDescent="0.2">
      <c r="A78" s="37" t="s">
        <v>124</v>
      </c>
      <c r="B78" s="38">
        <v>64538</v>
      </c>
      <c r="C78" s="12"/>
    </row>
    <row r="79" spans="1:3" x14ac:dyDescent="0.2">
      <c r="A79" s="37" t="s">
        <v>125</v>
      </c>
      <c r="B79" s="38">
        <v>64538</v>
      </c>
      <c r="C79" s="12"/>
    </row>
    <row r="80" spans="1:3" x14ac:dyDescent="0.2">
      <c r="A80" s="37" t="s">
        <v>126</v>
      </c>
      <c r="B80" s="38">
        <v>62000</v>
      </c>
      <c r="C80" s="12"/>
    </row>
    <row r="81" spans="1:3" x14ac:dyDescent="0.2">
      <c r="A81" s="37" t="s">
        <v>127</v>
      </c>
      <c r="B81" s="38">
        <v>59718</v>
      </c>
      <c r="C81" s="12"/>
    </row>
    <row r="82" spans="1:3" x14ac:dyDescent="0.2">
      <c r="A82" s="37" t="s">
        <v>128</v>
      </c>
      <c r="B82" s="38">
        <v>59718</v>
      </c>
      <c r="C82" s="12"/>
    </row>
    <row r="83" spans="1:3" x14ac:dyDescent="0.2">
      <c r="A83" s="37" t="s">
        <v>129</v>
      </c>
      <c r="B83" s="38">
        <v>59718</v>
      </c>
      <c r="C83" s="12"/>
    </row>
    <row r="84" spans="1:3" x14ac:dyDescent="0.2">
      <c r="A84" s="37" t="s">
        <v>130</v>
      </c>
      <c r="B84" s="38">
        <v>59718</v>
      </c>
      <c r="C84" s="12"/>
    </row>
    <row r="85" spans="1:3" x14ac:dyDescent="0.2">
      <c r="A85" s="37" t="s">
        <v>131</v>
      </c>
      <c r="B85" s="38">
        <v>57886</v>
      </c>
      <c r="C85" s="12"/>
    </row>
    <row r="86" spans="1:3" x14ac:dyDescent="0.2">
      <c r="A86" s="37" t="s">
        <v>132</v>
      </c>
      <c r="B86" s="38">
        <v>57886</v>
      </c>
      <c r="C86" s="12"/>
    </row>
    <row r="87" spans="1:3" x14ac:dyDescent="0.2">
      <c r="A87" s="37" t="s">
        <v>133</v>
      </c>
      <c r="B87" s="38">
        <v>56375</v>
      </c>
      <c r="C87" s="12"/>
    </row>
    <row r="88" spans="1:3" x14ac:dyDescent="0.2">
      <c r="A88" s="37" t="s">
        <v>134</v>
      </c>
      <c r="B88" s="38">
        <v>56375</v>
      </c>
      <c r="C88" s="12"/>
    </row>
    <row r="89" spans="1:3" x14ac:dyDescent="0.2">
      <c r="A89" s="37" t="s">
        <v>135</v>
      </c>
      <c r="B89" s="38">
        <v>56375</v>
      </c>
      <c r="C89" s="12"/>
    </row>
    <row r="90" spans="1:3" x14ac:dyDescent="0.2">
      <c r="A90" s="37" t="s">
        <v>136</v>
      </c>
      <c r="B90" s="38">
        <v>53616</v>
      </c>
      <c r="C90" s="12"/>
    </row>
    <row r="91" spans="1:3" x14ac:dyDescent="0.2">
      <c r="A91" s="37" t="s">
        <v>137</v>
      </c>
      <c r="B91" s="38">
        <v>53616</v>
      </c>
      <c r="C91" s="12"/>
    </row>
    <row r="92" spans="1:3" x14ac:dyDescent="0.2">
      <c r="A92" s="37" t="s">
        <v>138</v>
      </c>
      <c r="B92" s="38">
        <v>53616</v>
      </c>
      <c r="C92" s="12"/>
    </row>
    <row r="93" spans="1:3" x14ac:dyDescent="0.2">
      <c r="A93" s="37" t="s">
        <v>139</v>
      </c>
      <c r="B93" s="38">
        <v>53616</v>
      </c>
      <c r="C93" s="12"/>
    </row>
    <row r="94" spans="1:3" x14ac:dyDescent="0.2">
      <c r="A94" s="37" t="s">
        <v>140</v>
      </c>
      <c r="B94" s="38">
        <v>53616</v>
      </c>
      <c r="C94" s="12"/>
    </row>
    <row r="95" spans="1:3" x14ac:dyDescent="0.2">
      <c r="A95" s="37" t="s">
        <v>141</v>
      </c>
      <c r="B95" s="38">
        <v>53563</v>
      </c>
      <c r="C95" s="12"/>
    </row>
    <row r="96" spans="1:3" x14ac:dyDescent="0.2">
      <c r="A96" s="37" t="s">
        <v>142</v>
      </c>
      <c r="B96" s="38">
        <v>53563</v>
      </c>
      <c r="C96" s="12"/>
    </row>
    <row r="97" spans="1:3" x14ac:dyDescent="0.2">
      <c r="A97" s="37" t="s">
        <v>143</v>
      </c>
      <c r="B97" s="38">
        <v>53563</v>
      </c>
      <c r="C97" s="12"/>
    </row>
    <row r="98" spans="1:3" x14ac:dyDescent="0.2">
      <c r="A98" s="37" t="s">
        <v>144</v>
      </c>
      <c r="B98" s="38">
        <v>53563</v>
      </c>
      <c r="C98" s="12"/>
    </row>
    <row r="99" spans="1:3" x14ac:dyDescent="0.2">
      <c r="A99" s="37" t="s">
        <v>145</v>
      </c>
      <c r="B99" s="38">
        <v>53537</v>
      </c>
      <c r="C99" s="12"/>
    </row>
    <row r="100" spans="1:3" x14ac:dyDescent="0.2">
      <c r="A100" s="37" t="s">
        <v>146</v>
      </c>
      <c r="B100" s="38">
        <v>53537</v>
      </c>
      <c r="C100" s="12"/>
    </row>
    <row r="101" spans="1:3" x14ac:dyDescent="0.2">
      <c r="A101" s="37" t="s">
        <v>147</v>
      </c>
      <c r="B101" s="38">
        <v>53537</v>
      </c>
      <c r="C101" s="12"/>
    </row>
    <row r="102" spans="1:3" x14ac:dyDescent="0.2">
      <c r="A102" s="37" t="s">
        <v>148</v>
      </c>
      <c r="B102" s="38">
        <v>53537</v>
      </c>
      <c r="C102" s="12"/>
    </row>
    <row r="103" spans="1:3" x14ac:dyDescent="0.2">
      <c r="A103" s="37" t="s">
        <v>149</v>
      </c>
      <c r="B103" s="38">
        <v>53290</v>
      </c>
      <c r="C103" s="12"/>
    </row>
    <row r="104" spans="1:3" x14ac:dyDescent="0.2">
      <c r="A104" s="37" t="s">
        <v>150</v>
      </c>
      <c r="B104" s="38">
        <v>53290</v>
      </c>
      <c r="C104" s="12"/>
    </row>
    <row r="105" spans="1:3" x14ac:dyDescent="0.2">
      <c r="A105" s="37" t="s">
        <v>151</v>
      </c>
      <c r="B105" s="38">
        <v>53290</v>
      </c>
      <c r="C105" s="12"/>
    </row>
    <row r="106" spans="1:3" x14ac:dyDescent="0.2">
      <c r="A106" s="37" t="s">
        <v>152</v>
      </c>
      <c r="B106" s="38">
        <v>53290</v>
      </c>
      <c r="C106" s="12"/>
    </row>
    <row r="107" spans="1:3" x14ac:dyDescent="0.2">
      <c r="A107" s="37" t="s">
        <v>153</v>
      </c>
      <c r="B107" s="38">
        <v>50000</v>
      </c>
      <c r="C107" s="12"/>
    </row>
    <row r="108" spans="1:3" x14ac:dyDescent="0.2">
      <c r="A108" s="37" t="s">
        <v>154</v>
      </c>
      <c r="B108" s="38">
        <v>49611</v>
      </c>
      <c r="C108" s="12"/>
    </row>
    <row r="109" spans="1:3" x14ac:dyDescent="0.2">
      <c r="A109" s="37" t="s">
        <v>155</v>
      </c>
      <c r="B109" s="38">
        <v>49611</v>
      </c>
      <c r="C109" s="12"/>
    </row>
    <row r="110" spans="1:3" x14ac:dyDescent="0.2">
      <c r="A110" s="37" t="s">
        <v>201</v>
      </c>
      <c r="B110" s="38">
        <v>49611</v>
      </c>
      <c r="C110" s="12"/>
    </row>
    <row r="111" spans="1:3" x14ac:dyDescent="0.2">
      <c r="A111" s="37" t="s">
        <v>156</v>
      </c>
      <c r="B111" s="38">
        <v>49611</v>
      </c>
      <c r="C111" s="12"/>
    </row>
    <row r="112" spans="1:3" x14ac:dyDescent="0.2">
      <c r="A112" s="37" t="s">
        <v>157</v>
      </c>
      <c r="B112" s="38">
        <v>49539</v>
      </c>
      <c r="C112" s="12"/>
    </row>
    <row r="113" spans="1:3" x14ac:dyDescent="0.2">
      <c r="A113" s="37" t="s">
        <v>158</v>
      </c>
      <c r="B113" s="38">
        <v>49539</v>
      </c>
      <c r="C113" s="12"/>
    </row>
    <row r="114" spans="1:3" x14ac:dyDescent="0.2">
      <c r="A114" s="37" t="s">
        <v>159</v>
      </c>
      <c r="B114" s="38">
        <v>49539</v>
      </c>
      <c r="C114" s="12"/>
    </row>
    <row r="115" spans="1:3" x14ac:dyDescent="0.2">
      <c r="A115" s="37" t="s">
        <v>160</v>
      </c>
      <c r="B115" s="38">
        <v>49539</v>
      </c>
      <c r="C115" s="12"/>
    </row>
    <row r="116" spans="1:3" x14ac:dyDescent="0.2">
      <c r="A116" s="37" t="s">
        <v>161</v>
      </c>
      <c r="B116" s="38">
        <v>48564</v>
      </c>
      <c r="C116" s="12"/>
    </row>
    <row r="117" spans="1:3" x14ac:dyDescent="0.2">
      <c r="A117" s="37" t="s">
        <v>162</v>
      </c>
      <c r="B117" s="38">
        <v>47798</v>
      </c>
      <c r="C117" s="12"/>
    </row>
    <row r="118" spans="1:3" x14ac:dyDescent="0.2">
      <c r="A118" s="37" t="s">
        <v>163</v>
      </c>
      <c r="B118" s="38">
        <v>47798</v>
      </c>
      <c r="C118" s="12"/>
    </row>
    <row r="119" spans="1:3" x14ac:dyDescent="0.2">
      <c r="A119" s="37" t="s">
        <v>164</v>
      </c>
      <c r="B119" s="38">
        <v>47798</v>
      </c>
      <c r="C119" s="12"/>
    </row>
    <row r="120" spans="1:3" x14ac:dyDescent="0.2">
      <c r="A120" s="37" t="s">
        <v>165</v>
      </c>
      <c r="B120" s="38">
        <v>46028</v>
      </c>
      <c r="C120" s="12"/>
    </row>
    <row r="121" spans="1:3" x14ac:dyDescent="0.2">
      <c r="A121" s="37" t="s">
        <v>166</v>
      </c>
      <c r="B121" s="38">
        <v>44273</v>
      </c>
      <c r="C121" s="12"/>
    </row>
    <row r="122" spans="1:3" x14ac:dyDescent="0.2">
      <c r="A122" s="37" t="s">
        <v>202</v>
      </c>
      <c r="B122" s="38">
        <v>44273</v>
      </c>
      <c r="C122" s="12"/>
    </row>
    <row r="123" spans="1:3" x14ac:dyDescent="0.2">
      <c r="A123" s="37" t="s">
        <v>167</v>
      </c>
      <c r="B123" s="38">
        <v>44273</v>
      </c>
      <c r="C123" s="12"/>
    </row>
    <row r="124" spans="1:3" x14ac:dyDescent="0.2">
      <c r="A124" s="37" t="s">
        <v>168</v>
      </c>
      <c r="B124" s="38">
        <v>44273</v>
      </c>
      <c r="C124" s="12"/>
    </row>
    <row r="125" spans="1:3" x14ac:dyDescent="0.2">
      <c r="A125" s="37" t="s">
        <v>169</v>
      </c>
      <c r="B125" s="38">
        <v>44207</v>
      </c>
      <c r="C125" s="12"/>
    </row>
    <row r="126" spans="1:3" x14ac:dyDescent="0.2">
      <c r="A126" s="37" t="s">
        <v>170</v>
      </c>
      <c r="B126" s="38">
        <v>44207</v>
      </c>
      <c r="C126" s="12"/>
    </row>
    <row r="127" spans="1:3" x14ac:dyDescent="0.2">
      <c r="A127" s="37" t="s">
        <v>171</v>
      </c>
      <c r="B127" s="38">
        <v>44207</v>
      </c>
      <c r="C127" s="12"/>
    </row>
    <row r="128" spans="1:3" x14ac:dyDescent="0.2">
      <c r="A128" s="37" t="s">
        <v>172</v>
      </c>
      <c r="B128" s="38">
        <v>44207</v>
      </c>
      <c r="C128" s="12"/>
    </row>
    <row r="129" spans="1:3" x14ac:dyDescent="0.2">
      <c r="A129" s="37" t="s">
        <v>173</v>
      </c>
      <c r="B129" s="38">
        <v>43311</v>
      </c>
      <c r="C129" s="12"/>
    </row>
    <row r="130" spans="1:3" x14ac:dyDescent="0.2">
      <c r="A130" s="37" t="s">
        <v>174</v>
      </c>
      <c r="B130" s="38">
        <v>42632</v>
      </c>
      <c r="C130" s="12"/>
    </row>
    <row r="131" spans="1:3" x14ac:dyDescent="0.2">
      <c r="A131" s="37" t="s">
        <v>175</v>
      </c>
      <c r="B131" s="38">
        <v>42632</v>
      </c>
      <c r="C131" s="12"/>
    </row>
    <row r="132" spans="1:3" x14ac:dyDescent="0.2">
      <c r="A132" s="37" t="s">
        <v>176</v>
      </c>
      <c r="B132" s="38">
        <v>42632</v>
      </c>
      <c r="C132" s="12"/>
    </row>
    <row r="133" spans="1:3" x14ac:dyDescent="0.2">
      <c r="A133" s="37" t="s">
        <v>177</v>
      </c>
      <c r="B133" s="38">
        <v>42632</v>
      </c>
      <c r="C133" s="12"/>
    </row>
    <row r="134" spans="1:3" x14ac:dyDescent="0.2">
      <c r="A134" s="37" t="s">
        <v>178</v>
      </c>
      <c r="B134" s="38">
        <v>42570</v>
      </c>
      <c r="C134" s="12"/>
    </row>
    <row r="135" spans="1:3" x14ac:dyDescent="0.2">
      <c r="A135" s="37" t="s">
        <v>179</v>
      </c>
      <c r="B135" s="38">
        <v>42570</v>
      </c>
      <c r="C135" s="12"/>
    </row>
    <row r="136" spans="1:3" x14ac:dyDescent="0.2">
      <c r="A136" s="37" t="s">
        <v>180</v>
      </c>
      <c r="B136" s="38">
        <v>42570</v>
      </c>
      <c r="C136" s="12"/>
    </row>
    <row r="137" spans="1:3" x14ac:dyDescent="0.2">
      <c r="A137" s="37" t="s">
        <v>181</v>
      </c>
      <c r="B137" s="38">
        <v>42570</v>
      </c>
      <c r="C137" s="12"/>
    </row>
    <row r="138" spans="1:3" x14ac:dyDescent="0.2">
      <c r="A138" s="37" t="s">
        <v>182</v>
      </c>
      <c r="B138" s="38">
        <v>42570</v>
      </c>
      <c r="C138" s="12"/>
    </row>
    <row r="139" spans="1:3" x14ac:dyDescent="0.2">
      <c r="A139" s="37" t="s">
        <v>183</v>
      </c>
      <c r="B139" s="38">
        <v>41965</v>
      </c>
      <c r="C139" s="12"/>
    </row>
    <row r="140" spans="1:3" x14ac:dyDescent="0.2">
      <c r="A140" s="37" t="s">
        <v>184</v>
      </c>
      <c r="B140" s="38">
        <v>41965</v>
      </c>
      <c r="C140" s="12"/>
    </row>
    <row r="141" spans="1:3" x14ac:dyDescent="0.2">
      <c r="A141" s="37" t="s">
        <v>185</v>
      </c>
      <c r="B141" s="38">
        <v>41965</v>
      </c>
      <c r="C141" s="12"/>
    </row>
    <row r="142" spans="1:3" x14ac:dyDescent="0.2">
      <c r="A142" s="37" t="s">
        <v>186</v>
      </c>
      <c r="B142" s="38">
        <v>41965</v>
      </c>
      <c r="C142" s="12"/>
    </row>
    <row r="143" spans="1:3" x14ac:dyDescent="0.2">
      <c r="A143" s="37" t="s">
        <v>187</v>
      </c>
      <c r="B143" s="38">
        <v>41965</v>
      </c>
      <c r="C143" s="12"/>
    </row>
    <row r="144" spans="1:3" x14ac:dyDescent="0.2">
      <c r="A144" s="37" t="s">
        <v>188</v>
      </c>
      <c r="B144" s="38">
        <v>41965</v>
      </c>
      <c r="C144" s="12"/>
    </row>
    <row r="145" spans="1:3" x14ac:dyDescent="0.2">
      <c r="A145" s="37" t="s">
        <v>189</v>
      </c>
      <c r="B145" s="38">
        <v>41965</v>
      </c>
      <c r="C145" s="12"/>
    </row>
    <row r="146" spans="1:3" x14ac:dyDescent="0.2">
      <c r="A146" s="37" t="s">
        <v>190</v>
      </c>
      <c r="B146" s="38">
        <v>41965</v>
      </c>
      <c r="C146" s="12"/>
    </row>
    <row r="147" spans="1:3" x14ac:dyDescent="0.2">
      <c r="A147" s="37" t="s">
        <v>191</v>
      </c>
      <c r="B147" s="38">
        <v>41965</v>
      </c>
      <c r="C147" s="12"/>
    </row>
    <row r="148" spans="1:3" x14ac:dyDescent="0.2">
      <c r="A148" s="37" t="s">
        <v>192</v>
      </c>
      <c r="B148" s="38">
        <v>41965</v>
      </c>
      <c r="C148" s="12"/>
    </row>
    <row r="149" spans="1:3" x14ac:dyDescent="0.2">
      <c r="A149" s="37" t="s">
        <v>193</v>
      </c>
      <c r="B149" s="38">
        <v>41965</v>
      </c>
      <c r="C149" s="12"/>
    </row>
    <row r="150" spans="1:3" x14ac:dyDescent="0.2">
      <c r="A150" s="37" t="s">
        <v>194</v>
      </c>
      <c r="B150" s="38">
        <v>41695</v>
      </c>
      <c r="C150" s="12"/>
    </row>
    <row r="151" spans="1:3" x14ac:dyDescent="0.2">
      <c r="A151" s="12" t="s">
        <v>195</v>
      </c>
      <c r="B151" s="36">
        <v>34194</v>
      </c>
      <c r="C151" s="12"/>
    </row>
    <row r="152" spans="1:3" x14ac:dyDescent="0.2">
      <c r="A152" s="12" t="s">
        <v>196</v>
      </c>
      <c r="B152" s="36">
        <v>27598</v>
      </c>
      <c r="C152" s="12"/>
    </row>
    <row r="153" spans="1:3" x14ac:dyDescent="0.2">
      <c r="A153" s="12" t="s">
        <v>197</v>
      </c>
      <c r="B153" s="36">
        <v>8169</v>
      </c>
      <c r="C153" s="12"/>
    </row>
    <row r="154" spans="1:3" x14ac:dyDescent="0.2">
      <c r="A154" s="12" t="s">
        <v>198</v>
      </c>
      <c r="B154" s="36">
        <v>6069</v>
      </c>
      <c r="C154" s="12"/>
    </row>
    <row r="155" spans="1:3" x14ac:dyDescent="0.2">
      <c r="A155" s="12" t="s">
        <v>199</v>
      </c>
      <c r="B155" s="36">
        <v>5446</v>
      </c>
      <c r="C155" s="12"/>
    </row>
    <row r="156" spans="1:3" x14ac:dyDescent="0.2">
      <c r="A156" s="12" t="s">
        <v>200</v>
      </c>
      <c r="B156" s="36">
        <v>2723</v>
      </c>
      <c r="C156" s="12"/>
    </row>
  </sheetData>
  <hyperlinks>
    <hyperlink ref="C1" r:id="rId1" xr:uid="{D864CE3C-48A3-7C40-8024-1CABF7190C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51A1-E70D-A946-9784-7053B6D30FBF}">
  <dimension ref="A1:D171"/>
  <sheetViews>
    <sheetView topLeftCell="A150" zoomScale="75" workbookViewId="0">
      <selection activeCell="D28" sqref="D28"/>
    </sheetView>
  </sheetViews>
  <sheetFormatPr baseColWidth="10" defaultRowHeight="16" x14ac:dyDescent="0.2"/>
  <cols>
    <col min="1" max="1" width="27.5" style="2" customWidth="1"/>
    <col min="2" max="2" width="18.83203125" style="2" customWidth="1"/>
    <col min="3" max="3" width="18.83203125" style="41" customWidth="1"/>
    <col min="4" max="4" width="76.1640625" customWidth="1"/>
  </cols>
  <sheetData>
    <row r="1" spans="1:4" ht="19" x14ac:dyDescent="0.2">
      <c r="A1" s="23" t="s">
        <v>203</v>
      </c>
      <c r="B1" s="23" t="s">
        <v>204</v>
      </c>
      <c r="C1" s="40" t="s">
        <v>205</v>
      </c>
      <c r="D1" s="53" t="s">
        <v>431</v>
      </c>
    </row>
    <row r="2" spans="1:4" x14ac:dyDescent="0.2">
      <c r="A2" s="28" t="s">
        <v>48</v>
      </c>
      <c r="B2" s="28" t="s">
        <v>387</v>
      </c>
      <c r="C2" s="30">
        <v>215000</v>
      </c>
    </row>
    <row r="3" spans="1:4" x14ac:dyDescent="0.2">
      <c r="A3" s="28" t="s">
        <v>51</v>
      </c>
      <c r="B3" s="28" t="s">
        <v>380</v>
      </c>
      <c r="C3" s="30">
        <v>215000</v>
      </c>
    </row>
    <row r="4" spans="1:4" x14ac:dyDescent="0.2">
      <c r="A4" s="28" t="s">
        <v>72</v>
      </c>
      <c r="B4" s="28" t="s">
        <v>380</v>
      </c>
      <c r="C4" s="30">
        <v>215000</v>
      </c>
    </row>
    <row r="5" spans="1:4" x14ac:dyDescent="0.2">
      <c r="A5" s="28" t="s">
        <v>49</v>
      </c>
      <c r="B5" s="28" t="s">
        <v>386</v>
      </c>
      <c r="C5" s="30">
        <v>215000</v>
      </c>
    </row>
    <row r="6" spans="1:4" x14ac:dyDescent="0.2">
      <c r="A6" s="28" t="s">
        <v>64</v>
      </c>
      <c r="B6" s="28" t="s">
        <v>389</v>
      </c>
      <c r="C6" s="30">
        <v>215000</v>
      </c>
    </row>
    <row r="7" spans="1:4" x14ac:dyDescent="0.2">
      <c r="A7" s="28" t="s">
        <v>57</v>
      </c>
      <c r="B7" s="28" t="s">
        <v>389</v>
      </c>
      <c r="C7" s="30">
        <v>215000</v>
      </c>
    </row>
    <row r="8" spans="1:4" x14ac:dyDescent="0.2">
      <c r="A8" s="28" t="s">
        <v>63</v>
      </c>
      <c r="B8" s="28" t="s">
        <v>385</v>
      </c>
      <c r="C8" s="30">
        <v>206000</v>
      </c>
    </row>
    <row r="9" spans="1:4" x14ac:dyDescent="0.2">
      <c r="A9" s="28" t="s">
        <v>60</v>
      </c>
      <c r="B9" s="28" t="s">
        <v>385</v>
      </c>
      <c r="C9" s="30">
        <v>200000</v>
      </c>
    </row>
    <row r="10" spans="1:4" x14ac:dyDescent="0.2">
      <c r="A10" s="28" t="s">
        <v>214</v>
      </c>
      <c r="B10" s="28" t="s">
        <v>382</v>
      </c>
      <c r="C10" s="30">
        <v>196378</v>
      </c>
    </row>
    <row r="11" spans="1:4" x14ac:dyDescent="0.2">
      <c r="A11" s="28" t="s">
        <v>71</v>
      </c>
      <c r="B11" s="28" t="s">
        <v>384</v>
      </c>
      <c r="C11" s="30">
        <v>195000</v>
      </c>
    </row>
    <row r="12" spans="1:4" x14ac:dyDescent="0.2">
      <c r="A12" s="28" t="s">
        <v>130</v>
      </c>
      <c r="B12" s="28" t="s">
        <v>381</v>
      </c>
      <c r="C12" s="30">
        <v>185000</v>
      </c>
    </row>
    <row r="13" spans="1:4" x14ac:dyDescent="0.2">
      <c r="A13" s="28" t="s">
        <v>128</v>
      </c>
      <c r="B13" s="28" t="s">
        <v>387</v>
      </c>
      <c r="C13" s="30">
        <v>185000</v>
      </c>
    </row>
    <row r="14" spans="1:4" x14ac:dyDescent="0.2">
      <c r="A14" s="28" t="s">
        <v>120</v>
      </c>
      <c r="B14" s="28" t="s">
        <v>378</v>
      </c>
      <c r="C14" s="30">
        <v>185000</v>
      </c>
    </row>
    <row r="15" spans="1:4" x14ac:dyDescent="0.2">
      <c r="A15" s="28" t="s">
        <v>56</v>
      </c>
      <c r="B15" s="28" t="s">
        <v>377</v>
      </c>
      <c r="C15" s="30">
        <v>185000</v>
      </c>
    </row>
    <row r="16" spans="1:4" x14ac:dyDescent="0.2">
      <c r="A16" s="28" t="s">
        <v>83</v>
      </c>
      <c r="B16" s="28" t="s">
        <v>384</v>
      </c>
      <c r="C16" s="30">
        <v>185000</v>
      </c>
    </row>
    <row r="17" spans="1:3" x14ac:dyDescent="0.2">
      <c r="A17" s="28" t="s">
        <v>101</v>
      </c>
      <c r="B17" s="28" t="s">
        <v>380</v>
      </c>
      <c r="C17" s="30">
        <v>185000</v>
      </c>
    </row>
    <row r="18" spans="1:3" x14ac:dyDescent="0.2">
      <c r="A18" s="28" t="s">
        <v>124</v>
      </c>
      <c r="B18" s="28" t="s">
        <v>386</v>
      </c>
      <c r="C18" s="30">
        <v>185000</v>
      </c>
    </row>
    <row r="19" spans="1:3" x14ac:dyDescent="0.2">
      <c r="A19" s="28" t="s">
        <v>70</v>
      </c>
      <c r="B19" s="28" t="s">
        <v>385</v>
      </c>
      <c r="C19" s="30">
        <v>180250</v>
      </c>
    </row>
    <row r="20" spans="1:3" x14ac:dyDescent="0.2">
      <c r="A20" s="28" t="s">
        <v>50</v>
      </c>
      <c r="B20" s="28" t="s">
        <v>389</v>
      </c>
      <c r="C20" s="30">
        <v>175000</v>
      </c>
    </row>
    <row r="21" spans="1:3" x14ac:dyDescent="0.2">
      <c r="A21" s="28" t="s">
        <v>94</v>
      </c>
      <c r="B21" s="28" t="s">
        <v>381</v>
      </c>
      <c r="C21" s="30">
        <v>170000</v>
      </c>
    </row>
    <row r="22" spans="1:3" x14ac:dyDescent="0.2">
      <c r="A22" s="28" t="s">
        <v>123</v>
      </c>
      <c r="B22" s="28" t="s">
        <v>378</v>
      </c>
      <c r="C22" s="30">
        <v>170000</v>
      </c>
    </row>
    <row r="23" spans="1:3" x14ac:dyDescent="0.2">
      <c r="A23" s="28" t="s">
        <v>54</v>
      </c>
      <c r="B23" s="28" t="s">
        <v>381</v>
      </c>
      <c r="C23" s="30">
        <v>165000</v>
      </c>
    </row>
    <row r="24" spans="1:3" x14ac:dyDescent="0.2">
      <c r="A24" s="28" t="s">
        <v>127</v>
      </c>
      <c r="B24" s="28" t="s">
        <v>385</v>
      </c>
      <c r="C24" s="30">
        <v>165000</v>
      </c>
    </row>
    <row r="25" spans="1:3" x14ac:dyDescent="0.2">
      <c r="A25" s="28" t="s">
        <v>149</v>
      </c>
      <c r="B25" s="28" t="s">
        <v>378</v>
      </c>
      <c r="C25" s="30">
        <v>150000</v>
      </c>
    </row>
    <row r="26" spans="1:3" x14ac:dyDescent="0.2">
      <c r="A26" s="28" t="s">
        <v>152</v>
      </c>
      <c r="B26" s="28" t="s">
        <v>383</v>
      </c>
      <c r="C26" s="30">
        <v>140000</v>
      </c>
    </row>
    <row r="27" spans="1:3" x14ac:dyDescent="0.2">
      <c r="A27" s="28" t="s">
        <v>150</v>
      </c>
      <c r="B27" s="28" t="s">
        <v>387</v>
      </c>
      <c r="C27" s="30">
        <v>130000</v>
      </c>
    </row>
    <row r="28" spans="1:3" x14ac:dyDescent="0.2">
      <c r="A28" s="28" t="s">
        <v>91</v>
      </c>
      <c r="B28" s="28" t="s">
        <v>377</v>
      </c>
      <c r="C28" s="30">
        <v>130000</v>
      </c>
    </row>
    <row r="29" spans="1:3" x14ac:dyDescent="0.2">
      <c r="A29" s="28" t="s">
        <v>105</v>
      </c>
      <c r="B29" s="28" t="s">
        <v>389</v>
      </c>
      <c r="C29" s="30">
        <v>127000</v>
      </c>
    </row>
    <row r="30" spans="1:3" x14ac:dyDescent="0.2">
      <c r="A30" s="28" t="s">
        <v>107</v>
      </c>
      <c r="B30" s="28" t="s">
        <v>382</v>
      </c>
      <c r="C30" s="30">
        <v>120000</v>
      </c>
    </row>
    <row r="31" spans="1:3" x14ac:dyDescent="0.2">
      <c r="A31" s="28" t="s">
        <v>53</v>
      </c>
      <c r="B31" s="28" t="s">
        <v>387</v>
      </c>
      <c r="C31" s="30">
        <v>119500</v>
      </c>
    </row>
    <row r="32" spans="1:3" x14ac:dyDescent="0.2">
      <c r="A32" s="28" t="s">
        <v>62</v>
      </c>
      <c r="B32" s="28" t="s">
        <v>387</v>
      </c>
      <c r="C32" s="30">
        <v>119500</v>
      </c>
    </row>
    <row r="33" spans="1:3" x14ac:dyDescent="0.2">
      <c r="A33" s="28" t="s">
        <v>52</v>
      </c>
      <c r="B33" s="28" t="s">
        <v>383</v>
      </c>
      <c r="C33" s="30">
        <v>119500</v>
      </c>
    </row>
    <row r="34" spans="1:3" x14ac:dyDescent="0.2">
      <c r="A34" s="28" t="s">
        <v>58</v>
      </c>
      <c r="B34" s="28" t="s">
        <v>384</v>
      </c>
      <c r="C34" s="30">
        <v>119500</v>
      </c>
    </row>
    <row r="35" spans="1:3" x14ac:dyDescent="0.2">
      <c r="A35" s="28" t="s">
        <v>59</v>
      </c>
      <c r="B35" s="28" t="s">
        <v>384</v>
      </c>
      <c r="C35" s="30">
        <v>119500</v>
      </c>
    </row>
    <row r="36" spans="1:3" x14ac:dyDescent="0.2">
      <c r="A36" s="28" t="s">
        <v>61</v>
      </c>
      <c r="B36" s="28" t="s">
        <v>380</v>
      </c>
      <c r="C36" s="30">
        <v>119500</v>
      </c>
    </row>
    <row r="37" spans="1:3" x14ac:dyDescent="0.2">
      <c r="A37" s="28" t="s">
        <v>55</v>
      </c>
      <c r="B37" s="28" t="s">
        <v>386</v>
      </c>
      <c r="C37" s="30">
        <v>119500</v>
      </c>
    </row>
    <row r="38" spans="1:3" x14ac:dyDescent="0.2">
      <c r="A38" s="28" t="s">
        <v>65</v>
      </c>
      <c r="B38" s="28" t="s">
        <v>381</v>
      </c>
      <c r="C38" s="30">
        <v>117520</v>
      </c>
    </row>
    <row r="39" spans="1:3" x14ac:dyDescent="0.2">
      <c r="A39" s="28" t="s">
        <v>84</v>
      </c>
      <c r="B39" s="28" t="s">
        <v>381</v>
      </c>
      <c r="C39" s="30">
        <v>117000</v>
      </c>
    </row>
    <row r="40" spans="1:3" x14ac:dyDescent="0.2">
      <c r="A40" s="28" t="s">
        <v>82</v>
      </c>
      <c r="B40" s="28" t="s">
        <v>387</v>
      </c>
      <c r="C40" s="30">
        <v>117000</v>
      </c>
    </row>
    <row r="41" spans="1:3" x14ac:dyDescent="0.2">
      <c r="A41" s="28" t="s">
        <v>76</v>
      </c>
      <c r="B41" s="28" t="s">
        <v>383</v>
      </c>
      <c r="C41" s="30">
        <v>117000</v>
      </c>
    </row>
    <row r="42" spans="1:3" x14ac:dyDescent="0.2">
      <c r="A42" s="28" t="s">
        <v>73</v>
      </c>
      <c r="B42" s="28" t="s">
        <v>377</v>
      </c>
      <c r="C42" s="30">
        <v>117000</v>
      </c>
    </row>
    <row r="43" spans="1:3" x14ac:dyDescent="0.2">
      <c r="A43" s="28" t="s">
        <v>77</v>
      </c>
      <c r="B43" s="28" t="s">
        <v>377</v>
      </c>
      <c r="C43" s="30">
        <v>117000</v>
      </c>
    </row>
    <row r="44" spans="1:3" x14ac:dyDescent="0.2">
      <c r="A44" s="28" t="s">
        <v>79</v>
      </c>
      <c r="B44" s="28" t="s">
        <v>384</v>
      </c>
      <c r="C44" s="30">
        <v>117000</v>
      </c>
    </row>
    <row r="45" spans="1:3" x14ac:dyDescent="0.2">
      <c r="A45" s="28" t="s">
        <v>78</v>
      </c>
      <c r="B45" s="28" t="s">
        <v>379</v>
      </c>
      <c r="C45" s="30">
        <v>117000</v>
      </c>
    </row>
    <row r="46" spans="1:3" x14ac:dyDescent="0.2">
      <c r="A46" s="28" t="s">
        <v>81</v>
      </c>
      <c r="B46" s="28" t="s">
        <v>379</v>
      </c>
      <c r="C46" s="30">
        <v>117000</v>
      </c>
    </row>
    <row r="47" spans="1:3" x14ac:dyDescent="0.2">
      <c r="A47" s="28" t="s">
        <v>67</v>
      </c>
      <c r="B47" s="28" t="s">
        <v>380</v>
      </c>
      <c r="C47" s="30">
        <v>117000</v>
      </c>
    </row>
    <row r="48" spans="1:3" x14ac:dyDescent="0.2">
      <c r="A48" s="28" t="s">
        <v>75</v>
      </c>
      <c r="B48" s="28" t="s">
        <v>386</v>
      </c>
      <c r="C48" s="30">
        <v>117000</v>
      </c>
    </row>
    <row r="49" spans="1:3" x14ac:dyDescent="0.2">
      <c r="A49" s="28" t="s">
        <v>69</v>
      </c>
      <c r="B49" s="28" t="s">
        <v>389</v>
      </c>
      <c r="C49" s="30">
        <v>117000</v>
      </c>
    </row>
    <row r="50" spans="1:3" x14ac:dyDescent="0.2">
      <c r="A50" s="28" t="s">
        <v>80</v>
      </c>
      <c r="B50" s="28" t="s">
        <v>389</v>
      </c>
      <c r="C50" s="30">
        <v>117000</v>
      </c>
    </row>
    <row r="51" spans="1:3" x14ac:dyDescent="0.2">
      <c r="A51" s="28" t="s">
        <v>85</v>
      </c>
      <c r="B51" s="28" t="s">
        <v>379</v>
      </c>
      <c r="C51" s="30">
        <v>115627</v>
      </c>
    </row>
    <row r="52" spans="1:3" x14ac:dyDescent="0.2">
      <c r="A52" s="28" t="s">
        <v>125</v>
      </c>
      <c r="B52" s="28" t="s">
        <v>386</v>
      </c>
      <c r="C52" s="30">
        <v>115000</v>
      </c>
    </row>
    <row r="53" spans="1:3" x14ac:dyDescent="0.2">
      <c r="A53" s="28" t="s">
        <v>89</v>
      </c>
      <c r="B53" s="28" t="s">
        <v>384</v>
      </c>
      <c r="C53" s="30">
        <v>112000</v>
      </c>
    </row>
    <row r="54" spans="1:3" x14ac:dyDescent="0.2">
      <c r="A54" s="28" t="s">
        <v>88</v>
      </c>
      <c r="B54" s="28" t="s">
        <v>385</v>
      </c>
      <c r="C54" s="30">
        <v>110000</v>
      </c>
    </row>
    <row r="55" spans="1:3" x14ac:dyDescent="0.2">
      <c r="A55" s="28" t="s">
        <v>86</v>
      </c>
      <c r="B55" s="28" t="s">
        <v>384</v>
      </c>
      <c r="C55" s="30">
        <v>110000</v>
      </c>
    </row>
    <row r="56" spans="1:3" x14ac:dyDescent="0.2">
      <c r="A56" s="28" t="s">
        <v>92</v>
      </c>
      <c r="B56" s="28" t="s">
        <v>382</v>
      </c>
      <c r="C56" s="30">
        <v>110000</v>
      </c>
    </row>
    <row r="57" spans="1:3" x14ac:dyDescent="0.2">
      <c r="A57" s="28" t="s">
        <v>93</v>
      </c>
      <c r="B57" s="28" t="s">
        <v>381</v>
      </c>
      <c r="C57" s="30">
        <v>109200</v>
      </c>
    </row>
    <row r="58" spans="1:3" x14ac:dyDescent="0.2">
      <c r="A58" s="28" t="s">
        <v>95</v>
      </c>
      <c r="B58" s="28" t="s">
        <v>383</v>
      </c>
      <c r="C58" s="30">
        <v>107000</v>
      </c>
    </row>
    <row r="59" spans="1:3" x14ac:dyDescent="0.2">
      <c r="A59" s="28" t="s">
        <v>98</v>
      </c>
      <c r="B59" s="28" t="s">
        <v>379</v>
      </c>
      <c r="C59" s="30">
        <v>106000</v>
      </c>
    </row>
    <row r="60" spans="1:3" x14ac:dyDescent="0.2">
      <c r="A60" s="28" t="s">
        <v>96</v>
      </c>
      <c r="B60" s="28" t="s">
        <v>379</v>
      </c>
      <c r="C60" s="30">
        <v>105000</v>
      </c>
    </row>
    <row r="61" spans="1:3" x14ac:dyDescent="0.2">
      <c r="A61" s="28" t="s">
        <v>97</v>
      </c>
      <c r="B61" s="28" t="s">
        <v>386</v>
      </c>
      <c r="C61" s="30">
        <v>105000</v>
      </c>
    </row>
    <row r="62" spans="1:3" x14ac:dyDescent="0.2">
      <c r="A62" s="28" t="s">
        <v>99</v>
      </c>
      <c r="B62" s="28" t="s">
        <v>387</v>
      </c>
      <c r="C62" s="30">
        <v>104000</v>
      </c>
    </row>
    <row r="63" spans="1:3" x14ac:dyDescent="0.2">
      <c r="A63" s="28" t="s">
        <v>100</v>
      </c>
      <c r="B63" s="28" t="s">
        <v>379</v>
      </c>
      <c r="C63" s="30">
        <v>104000</v>
      </c>
    </row>
    <row r="64" spans="1:3" x14ac:dyDescent="0.2">
      <c r="A64" s="28" t="s">
        <v>122</v>
      </c>
      <c r="B64" s="28" t="s">
        <v>379</v>
      </c>
      <c r="C64" s="30">
        <v>100000</v>
      </c>
    </row>
    <row r="65" spans="1:3" x14ac:dyDescent="0.2">
      <c r="A65" s="28" t="s">
        <v>108</v>
      </c>
      <c r="B65" s="28" t="s">
        <v>382</v>
      </c>
      <c r="C65" s="30">
        <v>91000</v>
      </c>
    </row>
    <row r="66" spans="1:3" x14ac:dyDescent="0.2">
      <c r="A66" s="28" t="s">
        <v>134</v>
      </c>
      <c r="B66" s="28" t="s">
        <v>384</v>
      </c>
      <c r="C66" s="30">
        <v>90000</v>
      </c>
    </row>
    <row r="67" spans="1:3" x14ac:dyDescent="0.2">
      <c r="A67" s="28" t="s">
        <v>109</v>
      </c>
      <c r="B67" s="28" t="s">
        <v>378</v>
      </c>
      <c r="C67" s="30">
        <v>87700</v>
      </c>
    </row>
    <row r="68" spans="1:3" x14ac:dyDescent="0.2">
      <c r="A68" s="28" t="s">
        <v>111</v>
      </c>
      <c r="B68" s="28" t="s">
        <v>386</v>
      </c>
      <c r="C68" s="30">
        <v>85800</v>
      </c>
    </row>
    <row r="69" spans="1:3" x14ac:dyDescent="0.2">
      <c r="A69" s="28" t="s">
        <v>116</v>
      </c>
      <c r="B69" s="28" t="s">
        <v>383</v>
      </c>
      <c r="C69" s="30">
        <v>81600</v>
      </c>
    </row>
    <row r="70" spans="1:3" x14ac:dyDescent="0.2">
      <c r="A70" s="28" t="s">
        <v>113</v>
      </c>
      <c r="B70" s="28" t="s">
        <v>382</v>
      </c>
      <c r="C70" s="30">
        <v>81600</v>
      </c>
    </row>
    <row r="71" spans="1:3" x14ac:dyDescent="0.2">
      <c r="A71" s="28" t="s">
        <v>102</v>
      </c>
      <c r="B71" s="28" t="s">
        <v>377</v>
      </c>
      <c r="C71" s="30">
        <v>80000</v>
      </c>
    </row>
    <row r="72" spans="1:3" x14ac:dyDescent="0.2">
      <c r="A72" s="28" t="s">
        <v>129</v>
      </c>
      <c r="B72" s="28" t="s">
        <v>389</v>
      </c>
      <c r="C72" s="30">
        <v>80000</v>
      </c>
    </row>
    <row r="73" spans="1:3" x14ac:dyDescent="0.2">
      <c r="A73" s="28" t="s">
        <v>119</v>
      </c>
      <c r="B73" s="28" t="s">
        <v>387</v>
      </c>
      <c r="C73" s="30">
        <v>71400</v>
      </c>
    </row>
    <row r="74" spans="1:3" x14ac:dyDescent="0.2">
      <c r="A74" s="28" t="s">
        <v>118</v>
      </c>
      <c r="B74" s="28" t="s">
        <v>389</v>
      </c>
      <c r="C74" s="30">
        <v>71400</v>
      </c>
    </row>
    <row r="75" spans="1:3" x14ac:dyDescent="0.2">
      <c r="A75" s="28" t="s">
        <v>208</v>
      </c>
      <c r="B75" s="28" t="s">
        <v>385</v>
      </c>
      <c r="C75" s="30">
        <v>70000</v>
      </c>
    </row>
    <row r="76" spans="1:3" x14ac:dyDescent="0.2">
      <c r="A76" s="28" t="s">
        <v>206</v>
      </c>
      <c r="B76" s="28" t="s">
        <v>381</v>
      </c>
      <c r="C76" s="30">
        <v>68000</v>
      </c>
    </row>
    <row r="77" spans="1:3" x14ac:dyDescent="0.2">
      <c r="A77" s="28" t="s">
        <v>194</v>
      </c>
      <c r="B77" s="28" t="s">
        <v>381</v>
      </c>
      <c r="C77" s="30">
        <v>68000</v>
      </c>
    </row>
    <row r="78" spans="1:3" x14ac:dyDescent="0.2">
      <c r="A78" s="28" t="s">
        <v>117</v>
      </c>
      <c r="B78" s="28" t="s">
        <v>381</v>
      </c>
      <c r="C78" s="30">
        <v>68000</v>
      </c>
    </row>
    <row r="79" spans="1:3" x14ac:dyDescent="0.2">
      <c r="A79" s="28" t="s">
        <v>142</v>
      </c>
      <c r="B79" s="28" t="s">
        <v>387</v>
      </c>
      <c r="C79" s="30">
        <v>68000</v>
      </c>
    </row>
    <row r="80" spans="1:3" x14ac:dyDescent="0.2">
      <c r="A80" s="28" t="s">
        <v>151</v>
      </c>
      <c r="B80" s="28" t="s">
        <v>378</v>
      </c>
      <c r="C80" s="30">
        <v>68000</v>
      </c>
    </row>
    <row r="81" spans="1:3" x14ac:dyDescent="0.2">
      <c r="A81" s="28" t="s">
        <v>219</v>
      </c>
      <c r="B81" s="28" t="s">
        <v>378</v>
      </c>
      <c r="C81" s="30">
        <v>68000</v>
      </c>
    </row>
    <row r="82" spans="1:3" x14ac:dyDescent="0.2">
      <c r="A82" s="28" t="s">
        <v>210</v>
      </c>
      <c r="B82" s="28" t="s">
        <v>383</v>
      </c>
      <c r="C82" s="30">
        <v>68000</v>
      </c>
    </row>
    <row r="83" spans="1:3" x14ac:dyDescent="0.2">
      <c r="A83" s="28" t="s">
        <v>132</v>
      </c>
      <c r="B83" s="28" t="s">
        <v>377</v>
      </c>
      <c r="C83" s="30">
        <v>68000</v>
      </c>
    </row>
    <row r="84" spans="1:3" x14ac:dyDescent="0.2">
      <c r="A84" s="28" t="s">
        <v>143</v>
      </c>
      <c r="B84" s="28" t="s">
        <v>384</v>
      </c>
      <c r="C84" s="30">
        <v>68000</v>
      </c>
    </row>
    <row r="85" spans="1:3" x14ac:dyDescent="0.2">
      <c r="A85" s="28" t="s">
        <v>164</v>
      </c>
      <c r="B85" s="28" t="s">
        <v>384</v>
      </c>
      <c r="C85" s="30">
        <v>68000</v>
      </c>
    </row>
    <row r="86" spans="1:3" x14ac:dyDescent="0.2">
      <c r="A86" s="28" t="s">
        <v>198</v>
      </c>
      <c r="B86" s="28" t="s">
        <v>379</v>
      </c>
      <c r="C86" s="30">
        <v>68000</v>
      </c>
    </row>
    <row r="87" spans="1:3" x14ac:dyDescent="0.2">
      <c r="A87" s="28" t="s">
        <v>165</v>
      </c>
      <c r="B87" s="28" t="s">
        <v>379</v>
      </c>
      <c r="C87" s="30">
        <v>68000</v>
      </c>
    </row>
    <row r="88" spans="1:3" x14ac:dyDescent="0.2">
      <c r="A88" s="28" t="s">
        <v>213</v>
      </c>
      <c r="B88" s="28" t="s">
        <v>382</v>
      </c>
      <c r="C88" s="30">
        <v>68000</v>
      </c>
    </row>
    <row r="89" spans="1:3" x14ac:dyDescent="0.2">
      <c r="A89" s="28" t="s">
        <v>186</v>
      </c>
      <c r="B89" s="28" t="s">
        <v>382</v>
      </c>
      <c r="C89" s="30">
        <v>68000</v>
      </c>
    </row>
    <row r="90" spans="1:3" x14ac:dyDescent="0.2">
      <c r="A90" s="28" t="s">
        <v>141</v>
      </c>
      <c r="B90" s="28" t="s">
        <v>380</v>
      </c>
      <c r="C90" s="30">
        <v>68000</v>
      </c>
    </row>
    <row r="91" spans="1:3" x14ac:dyDescent="0.2">
      <c r="A91" s="28" t="s">
        <v>193</v>
      </c>
      <c r="B91" s="28" t="s">
        <v>380</v>
      </c>
      <c r="C91" s="30">
        <v>68000</v>
      </c>
    </row>
    <row r="92" spans="1:3" x14ac:dyDescent="0.2">
      <c r="A92" s="28" t="s">
        <v>228</v>
      </c>
      <c r="B92" s="28" t="s">
        <v>386</v>
      </c>
      <c r="C92" s="30">
        <v>68000</v>
      </c>
    </row>
    <row r="93" spans="1:3" x14ac:dyDescent="0.2">
      <c r="A93" s="28" t="s">
        <v>153</v>
      </c>
      <c r="B93" s="28" t="s">
        <v>386</v>
      </c>
      <c r="C93" s="30">
        <v>68000</v>
      </c>
    </row>
    <row r="94" spans="1:3" x14ac:dyDescent="0.2">
      <c r="A94" s="28" t="s">
        <v>131</v>
      </c>
      <c r="B94" s="28" t="s">
        <v>378</v>
      </c>
      <c r="C94" s="30">
        <v>65779</v>
      </c>
    </row>
    <row r="95" spans="1:3" x14ac:dyDescent="0.2">
      <c r="A95" s="28" t="s">
        <v>209</v>
      </c>
      <c r="B95" s="28" t="s">
        <v>385</v>
      </c>
      <c r="C95" s="30">
        <v>65250</v>
      </c>
    </row>
    <row r="96" spans="1:3" x14ac:dyDescent="0.2">
      <c r="A96" s="28" t="s">
        <v>220</v>
      </c>
      <c r="B96" s="28" t="s">
        <v>378</v>
      </c>
      <c r="C96" s="30">
        <v>65250</v>
      </c>
    </row>
    <row r="97" spans="1:3" x14ac:dyDescent="0.2">
      <c r="A97" s="28" t="s">
        <v>221</v>
      </c>
      <c r="B97" s="28" t="s">
        <v>378</v>
      </c>
      <c r="C97" s="30">
        <v>65250</v>
      </c>
    </row>
    <row r="98" spans="1:3" x14ac:dyDescent="0.2">
      <c r="A98" s="28" t="s">
        <v>224</v>
      </c>
      <c r="B98" s="28" t="s">
        <v>379</v>
      </c>
      <c r="C98" s="30">
        <v>65250</v>
      </c>
    </row>
    <row r="99" spans="1:3" x14ac:dyDescent="0.2">
      <c r="A99" s="28" t="s">
        <v>215</v>
      </c>
      <c r="B99" s="28" t="s">
        <v>382</v>
      </c>
      <c r="C99" s="30">
        <v>62500</v>
      </c>
    </row>
    <row r="100" spans="1:3" x14ac:dyDescent="0.2">
      <c r="A100" s="28" t="s">
        <v>216</v>
      </c>
      <c r="B100" s="28" t="s">
        <v>382</v>
      </c>
      <c r="C100" s="30">
        <v>62500</v>
      </c>
    </row>
    <row r="101" spans="1:3" x14ac:dyDescent="0.2">
      <c r="A101" s="28" t="s">
        <v>328</v>
      </c>
      <c r="B101" s="28" t="s">
        <v>386</v>
      </c>
      <c r="C101" s="30">
        <v>62500</v>
      </c>
    </row>
    <row r="102" spans="1:3" x14ac:dyDescent="0.2">
      <c r="A102" s="28" t="s">
        <v>195</v>
      </c>
      <c r="B102" s="28" t="s">
        <v>378</v>
      </c>
      <c r="C102" s="30">
        <v>62000</v>
      </c>
    </row>
    <row r="103" spans="1:3" x14ac:dyDescent="0.2">
      <c r="A103" s="28" t="s">
        <v>144</v>
      </c>
      <c r="B103" s="28" t="s">
        <v>380</v>
      </c>
      <c r="C103" s="30">
        <v>60867</v>
      </c>
    </row>
    <row r="104" spans="1:3" x14ac:dyDescent="0.2">
      <c r="A104" s="28" t="s">
        <v>421</v>
      </c>
      <c r="B104" s="28" t="s">
        <v>381</v>
      </c>
      <c r="C104" s="30">
        <v>59750</v>
      </c>
    </row>
    <row r="105" spans="1:3" x14ac:dyDescent="0.2">
      <c r="A105" s="28" t="s">
        <v>207</v>
      </c>
      <c r="B105" s="28" t="s">
        <v>381</v>
      </c>
      <c r="C105" s="30">
        <v>59750</v>
      </c>
    </row>
    <row r="106" spans="1:3" x14ac:dyDescent="0.2">
      <c r="A106" s="28" t="s">
        <v>235</v>
      </c>
      <c r="B106" s="28" t="s">
        <v>387</v>
      </c>
      <c r="C106" s="30">
        <v>59750</v>
      </c>
    </row>
    <row r="107" spans="1:3" x14ac:dyDescent="0.2">
      <c r="A107" s="28" t="s">
        <v>256</v>
      </c>
      <c r="B107" s="28" t="s">
        <v>387</v>
      </c>
      <c r="C107" s="30">
        <v>59750</v>
      </c>
    </row>
    <row r="108" spans="1:3" x14ac:dyDescent="0.2">
      <c r="A108" s="28" t="s">
        <v>422</v>
      </c>
      <c r="B108" s="28" t="s">
        <v>378</v>
      </c>
      <c r="C108" s="30">
        <v>59750</v>
      </c>
    </row>
    <row r="109" spans="1:3" x14ac:dyDescent="0.2">
      <c r="A109" s="28" t="s">
        <v>211</v>
      </c>
      <c r="B109" s="28" t="s">
        <v>383</v>
      </c>
      <c r="C109" s="30">
        <v>59750</v>
      </c>
    </row>
    <row r="110" spans="1:3" x14ac:dyDescent="0.2">
      <c r="A110" s="28" t="s">
        <v>237</v>
      </c>
      <c r="B110" s="28" t="s">
        <v>384</v>
      </c>
      <c r="C110" s="30">
        <v>59750</v>
      </c>
    </row>
    <row r="111" spans="1:3" x14ac:dyDescent="0.2">
      <c r="A111" s="28" t="s">
        <v>336</v>
      </c>
      <c r="B111" s="28" t="s">
        <v>384</v>
      </c>
      <c r="C111" s="30">
        <v>59750</v>
      </c>
    </row>
    <row r="112" spans="1:3" x14ac:dyDescent="0.2">
      <c r="A112" s="28" t="s">
        <v>225</v>
      </c>
      <c r="B112" s="28" t="s">
        <v>379</v>
      </c>
      <c r="C112" s="30">
        <v>59750</v>
      </c>
    </row>
    <row r="113" spans="1:3" x14ac:dyDescent="0.2">
      <c r="A113" s="28" t="s">
        <v>248</v>
      </c>
      <c r="B113" s="28" t="s">
        <v>382</v>
      </c>
      <c r="C113" s="30">
        <v>59750</v>
      </c>
    </row>
    <row r="114" spans="1:3" x14ac:dyDescent="0.2">
      <c r="A114" s="28" t="s">
        <v>217</v>
      </c>
      <c r="B114" s="28" t="s">
        <v>382</v>
      </c>
      <c r="C114" s="30">
        <v>59750</v>
      </c>
    </row>
    <row r="115" spans="1:3" x14ac:dyDescent="0.2">
      <c r="A115" s="28" t="s">
        <v>218</v>
      </c>
      <c r="B115" s="28" t="s">
        <v>382</v>
      </c>
      <c r="C115" s="30">
        <v>59750</v>
      </c>
    </row>
    <row r="116" spans="1:3" x14ac:dyDescent="0.2">
      <c r="A116" s="28" t="s">
        <v>137</v>
      </c>
      <c r="B116" s="28" t="s">
        <v>385</v>
      </c>
      <c r="C116" s="30">
        <v>58978</v>
      </c>
    </row>
    <row r="117" spans="1:3" x14ac:dyDescent="0.2">
      <c r="A117" s="28" t="s">
        <v>139</v>
      </c>
      <c r="B117" s="28" t="s">
        <v>385</v>
      </c>
      <c r="C117" s="30">
        <v>58978</v>
      </c>
    </row>
    <row r="118" spans="1:3" x14ac:dyDescent="0.2">
      <c r="A118" s="28" t="s">
        <v>138</v>
      </c>
      <c r="B118" s="28" t="s">
        <v>383</v>
      </c>
      <c r="C118" s="30">
        <v>58978</v>
      </c>
    </row>
    <row r="119" spans="1:3" x14ac:dyDescent="0.2">
      <c r="A119" s="28" t="s">
        <v>232</v>
      </c>
      <c r="B119" s="28" t="s">
        <v>377</v>
      </c>
      <c r="C119" s="30">
        <v>58480</v>
      </c>
    </row>
    <row r="120" spans="1:3" x14ac:dyDescent="0.2">
      <c r="A120" s="28" t="s">
        <v>174</v>
      </c>
      <c r="B120" s="28" t="s">
        <v>381</v>
      </c>
      <c r="C120" s="30">
        <v>57000</v>
      </c>
    </row>
    <row r="121" spans="1:3" x14ac:dyDescent="0.2">
      <c r="A121" s="28" t="s">
        <v>157</v>
      </c>
      <c r="B121" s="28" t="s">
        <v>381</v>
      </c>
      <c r="C121" s="30">
        <v>57000</v>
      </c>
    </row>
    <row r="122" spans="1:3" x14ac:dyDescent="0.2">
      <c r="A122" s="28" t="s">
        <v>178</v>
      </c>
      <c r="B122" s="28" t="s">
        <v>381</v>
      </c>
      <c r="C122" s="30">
        <v>57000</v>
      </c>
    </row>
    <row r="123" spans="1:3" x14ac:dyDescent="0.2">
      <c r="A123" s="28" t="s">
        <v>162</v>
      </c>
      <c r="B123" s="28" t="s">
        <v>381</v>
      </c>
      <c r="C123" s="30">
        <v>57000</v>
      </c>
    </row>
    <row r="124" spans="1:3" x14ac:dyDescent="0.2">
      <c r="A124" s="28" t="s">
        <v>427</v>
      </c>
      <c r="B124" s="28" t="s">
        <v>381</v>
      </c>
      <c r="C124" s="30">
        <v>57000</v>
      </c>
    </row>
    <row r="125" spans="1:3" x14ac:dyDescent="0.2">
      <c r="A125" s="28" t="s">
        <v>424</v>
      </c>
      <c r="B125" s="28" t="s">
        <v>385</v>
      </c>
      <c r="C125" s="30">
        <v>57000</v>
      </c>
    </row>
    <row r="126" spans="1:3" x14ac:dyDescent="0.2">
      <c r="A126" s="28" t="s">
        <v>176</v>
      </c>
      <c r="B126" s="28" t="s">
        <v>385</v>
      </c>
      <c r="C126" s="30">
        <v>57000</v>
      </c>
    </row>
    <row r="127" spans="1:3" x14ac:dyDescent="0.2">
      <c r="A127" s="28" t="s">
        <v>272</v>
      </c>
      <c r="B127" s="28" t="s">
        <v>385</v>
      </c>
      <c r="C127" s="30">
        <v>57000</v>
      </c>
    </row>
    <row r="128" spans="1:3" x14ac:dyDescent="0.2">
      <c r="A128" s="28" t="s">
        <v>196</v>
      </c>
      <c r="B128" s="28" t="s">
        <v>387</v>
      </c>
      <c r="C128" s="30">
        <v>57000</v>
      </c>
    </row>
    <row r="129" spans="1:3" x14ac:dyDescent="0.2">
      <c r="A129" s="28" t="s">
        <v>181</v>
      </c>
      <c r="B129" s="28" t="s">
        <v>378</v>
      </c>
      <c r="C129" s="30">
        <v>57000</v>
      </c>
    </row>
    <row r="130" spans="1:3" x14ac:dyDescent="0.2">
      <c r="A130" s="28" t="s">
        <v>159</v>
      </c>
      <c r="B130" s="28" t="s">
        <v>378</v>
      </c>
      <c r="C130" s="30">
        <v>57000</v>
      </c>
    </row>
    <row r="131" spans="1:3" x14ac:dyDescent="0.2">
      <c r="A131" s="28" t="s">
        <v>147</v>
      </c>
      <c r="B131" s="28" t="s">
        <v>378</v>
      </c>
      <c r="C131" s="30">
        <v>57000</v>
      </c>
    </row>
    <row r="132" spans="1:3" x14ac:dyDescent="0.2">
      <c r="A132" s="28" t="s">
        <v>212</v>
      </c>
      <c r="B132" s="28" t="s">
        <v>383</v>
      </c>
      <c r="C132" s="30">
        <v>57000</v>
      </c>
    </row>
    <row r="133" spans="1:3" x14ac:dyDescent="0.2">
      <c r="A133" s="28" t="s">
        <v>183</v>
      </c>
      <c r="B133" s="28" t="s">
        <v>383</v>
      </c>
      <c r="C133" s="30">
        <v>57000</v>
      </c>
    </row>
    <row r="134" spans="1:3" x14ac:dyDescent="0.2">
      <c r="A134" s="28" t="s">
        <v>146</v>
      </c>
      <c r="B134" s="28" t="s">
        <v>383</v>
      </c>
      <c r="C134" s="30">
        <v>57000</v>
      </c>
    </row>
    <row r="135" spans="1:3" x14ac:dyDescent="0.2">
      <c r="A135" s="28" t="s">
        <v>156</v>
      </c>
      <c r="B135" s="28" t="s">
        <v>383</v>
      </c>
      <c r="C135" s="30">
        <v>57000</v>
      </c>
    </row>
    <row r="136" spans="1:3" x14ac:dyDescent="0.2">
      <c r="A136" s="28" t="s">
        <v>222</v>
      </c>
      <c r="B136" s="28" t="s">
        <v>377</v>
      </c>
      <c r="C136" s="30">
        <v>57000</v>
      </c>
    </row>
    <row r="137" spans="1:3" x14ac:dyDescent="0.2">
      <c r="A137" s="28" t="s">
        <v>177</v>
      </c>
      <c r="B137" s="28" t="s">
        <v>377</v>
      </c>
      <c r="C137" s="30">
        <v>57000</v>
      </c>
    </row>
    <row r="138" spans="1:3" x14ac:dyDescent="0.2">
      <c r="A138" s="28" t="s">
        <v>140</v>
      </c>
      <c r="B138" s="28" t="s">
        <v>377</v>
      </c>
      <c r="C138" s="30">
        <v>57000</v>
      </c>
    </row>
    <row r="139" spans="1:3" x14ac:dyDescent="0.2">
      <c r="A139" s="28" t="s">
        <v>148</v>
      </c>
      <c r="B139" s="28" t="s">
        <v>377</v>
      </c>
      <c r="C139" s="30">
        <v>57000</v>
      </c>
    </row>
    <row r="140" spans="1:3" x14ac:dyDescent="0.2">
      <c r="A140" s="28" t="s">
        <v>169</v>
      </c>
      <c r="B140" s="28" t="s">
        <v>384</v>
      </c>
      <c r="C140" s="30">
        <v>57000</v>
      </c>
    </row>
    <row r="141" spans="1:3" x14ac:dyDescent="0.2">
      <c r="A141" s="28" t="s">
        <v>185</v>
      </c>
      <c r="B141" s="28" t="s">
        <v>384</v>
      </c>
      <c r="C141" s="30">
        <v>57000</v>
      </c>
    </row>
    <row r="142" spans="1:3" x14ac:dyDescent="0.2">
      <c r="A142" s="28" t="s">
        <v>426</v>
      </c>
      <c r="B142" s="28" t="s">
        <v>384</v>
      </c>
      <c r="C142" s="30">
        <v>57000</v>
      </c>
    </row>
    <row r="143" spans="1:3" x14ac:dyDescent="0.2">
      <c r="A143" s="28" t="s">
        <v>168</v>
      </c>
      <c r="B143" s="28" t="s">
        <v>384</v>
      </c>
      <c r="C143" s="30">
        <v>57000</v>
      </c>
    </row>
    <row r="144" spans="1:3" x14ac:dyDescent="0.2">
      <c r="A144" s="28" t="s">
        <v>423</v>
      </c>
      <c r="B144" s="28" t="s">
        <v>379</v>
      </c>
      <c r="C144" s="30">
        <v>57000</v>
      </c>
    </row>
    <row r="145" spans="1:3" x14ac:dyDescent="0.2">
      <c r="A145" s="28" t="s">
        <v>166</v>
      </c>
      <c r="B145" s="28" t="s">
        <v>379</v>
      </c>
      <c r="C145" s="30">
        <v>57000</v>
      </c>
    </row>
    <row r="146" spans="1:3" x14ac:dyDescent="0.2">
      <c r="A146" s="28" t="s">
        <v>158</v>
      </c>
      <c r="B146" s="28" t="s">
        <v>379</v>
      </c>
      <c r="C146" s="30">
        <v>57000</v>
      </c>
    </row>
    <row r="147" spans="1:3" x14ac:dyDescent="0.2">
      <c r="A147" s="28" t="s">
        <v>182</v>
      </c>
      <c r="B147" s="28" t="s">
        <v>379</v>
      </c>
      <c r="C147" s="30">
        <v>57000</v>
      </c>
    </row>
    <row r="148" spans="1:3" x14ac:dyDescent="0.2">
      <c r="A148" s="28" t="s">
        <v>145</v>
      </c>
      <c r="B148" s="28" t="s">
        <v>382</v>
      </c>
      <c r="C148" s="30">
        <v>57000</v>
      </c>
    </row>
    <row r="149" spans="1:3" x14ac:dyDescent="0.2">
      <c r="A149" s="28" t="s">
        <v>180</v>
      </c>
      <c r="B149" s="28" t="s">
        <v>382</v>
      </c>
      <c r="C149" s="30">
        <v>57000</v>
      </c>
    </row>
    <row r="150" spans="1:3" x14ac:dyDescent="0.2">
      <c r="A150" s="28" t="s">
        <v>187</v>
      </c>
      <c r="B150" s="28" t="s">
        <v>382</v>
      </c>
      <c r="C150" s="30">
        <v>57000</v>
      </c>
    </row>
    <row r="151" spans="1:3" x14ac:dyDescent="0.2">
      <c r="A151" s="28" t="s">
        <v>167</v>
      </c>
      <c r="B151" s="28" t="s">
        <v>382</v>
      </c>
      <c r="C151" s="30">
        <v>57000</v>
      </c>
    </row>
    <row r="152" spans="1:3" x14ac:dyDescent="0.2">
      <c r="A152" s="28" t="s">
        <v>179</v>
      </c>
      <c r="B152" s="28" t="s">
        <v>380</v>
      </c>
      <c r="C152" s="30">
        <v>57000</v>
      </c>
    </row>
    <row r="153" spans="1:3" x14ac:dyDescent="0.2">
      <c r="A153" s="28" t="s">
        <v>200</v>
      </c>
      <c r="B153" s="28" t="s">
        <v>380</v>
      </c>
      <c r="C153" s="30">
        <v>57000</v>
      </c>
    </row>
    <row r="154" spans="1:3" x14ac:dyDescent="0.2">
      <c r="A154" s="28" t="s">
        <v>160</v>
      </c>
      <c r="B154" s="28" t="s">
        <v>380</v>
      </c>
      <c r="C154" s="30">
        <v>57000</v>
      </c>
    </row>
    <row r="155" spans="1:3" x14ac:dyDescent="0.2">
      <c r="A155" s="28" t="s">
        <v>172</v>
      </c>
      <c r="B155" s="28" t="s">
        <v>380</v>
      </c>
      <c r="C155" s="30">
        <v>57000</v>
      </c>
    </row>
    <row r="156" spans="1:3" x14ac:dyDescent="0.2">
      <c r="A156" s="28" t="s">
        <v>155</v>
      </c>
      <c r="B156" s="28" t="s">
        <v>386</v>
      </c>
      <c r="C156" s="30">
        <v>57000</v>
      </c>
    </row>
    <row r="157" spans="1:3" x14ac:dyDescent="0.2">
      <c r="A157" s="28" t="s">
        <v>171</v>
      </c>
      <c r="B157" s="28" t="s">
        <v>386</v>
      </c>
      <c r="C157" s="30">
        <v>57000</v>
      </c>
    </row>
    <row r="158" spans="1:3" x14ac:dyDescent="0.2">
      <c r="A158" s="28" t="s">
        <v>192</v>
      </c>
      <c r="B158" s="28" t="s">
        <v>386</v>
      </c>
      <c r="C158" s="30">
        <v>57000</v>
      </c>
    </row>
    <row r="159" spans="1:3" x14ac:dyDescent="0.2">
      <c r="A159" s="28" t="s">
        <v>154</v>
      </c>
      <c r="B159" s="28" t="s">
        <v>389</v>
      </c>
      <c r="C159" s="30">
        <v>57000</v>
      </c>
    </row>
    <row r="160" spans="1:3" x14ac:dyDescent="0.2">
      <c r="A160" s="28" t="s">
        <v>136</v>
      </c>
      <c r="B160" s="28" t="s">
        <v>389</v>
      </c>
      <c r="C160" s="30">
        <v>57000</v>
      </c>
    </row>
    <row r="161" spans="1:3" x14ac:dyDescent="0.2">
      <c r="A161" s="28" t="s">
        <v>425</v>
      </c>
      <c r="B161" s="28" t="s">
        <v>389</v>
      </c>
      <c r="C161" s="30">
        <v>57000</v>
      </c>
    </row>
    <row r="162" spans="1:3" x14ac:dyDescent="0.2">
      <c r="A162" s="28" t="s">
        <v>175</v>
      </c>
      <c r="B162" s="28" t="s">
        <v>389</v>
      </c>
      <c r="C162" s="30">
        <v>57000</v>
      </c>
    </row>
    <row r="163" spans="1:3" x14ac:dyDescent="0.2">
      <c r="A163" s="28" t="s">
        <v>170</v>
      </c>
      <c r="B163" s="28" t="s">
        <v>389</v>
      </c>
      <c r="C163" s="30">
        <v>57000</v>
      </c>
    </row>
    <row r="164" spans="1:3" x14ac:dyDescent="0.2">
      <c r="A164" t="s">
        <v>249</v>
      </c>
      <c r="B164" t="s">
        <v>389</v>
      </c>
      <c r="C164" s="9">
        <v>33060</v>
      </c>
    </row>
    <row r="165" spans="1:3" x14ac:dyDescent="0.2">
      <c r="A165" t="s">
        <v>369</v>
      </c>
      <c r="B165" t="s">
        <v>389</v>
      </c>
      <c r="C165" s="9">
        <v>31290</v>
      </c>
    </row>
    <row r="166" spans="1:3" x14ac:dyDescent="0.2">
      <c r="A166" t="s">
        <v>300</v>
      </c>
      <c r="B166" t="s">
        <v>383</v>
      </c>
      <c r="C166" s="9">
        <v>28500</v>
      </c>
    </row>
    <row r="167" spans="1:3" x14ac:dyDescent="0.2">
      <c r="A167" t="s">
        <v>428</v>
      </c>
      <c r="B167" t="s">
        <v>377</v>
      </c>
      <c r="C167" s="9">
        <v>21760</v>
      </c>
    </row>
    <row r="168" spans="1:3" x14ac:dyDescent="0.2">
      <c r="A168" t="s">
        <v>66</v>
      </c>
      <c r="B168" t="s">
        <v>377</v>
      </c>
      <c r="C168" s="9">
        <v>13600</v>
      </c>
    </row>
    <row r="169" spans="1:3" x14ac:dyDescent="0.2">
      <c r="A169" t="s">
        <v>429</v>
      </c>
      <c r="B169" t="s">
        <v>385</v>
      </c>
      <c r="C169" s="9">
        <v>9120</v>
      </c>
    </row>
    <row r="170" spans="1:3" x14ac:dyDescent="0.2">
      <c r="A170" t="s">
        <v>430</v>
      </c>
      <c r="B170" t="s">
        <v>380</v>
      </c>
      <c r="C170" s="9">
        <v>5130</v>
      </c>
    </row>
    <row r="171" spans="1:3" x14ac:dyDescent="0.2">
      <c r="A171" t="s">
        <v>233</v>
      </c>
      <c r="B171" t="s">
        <v>377</v>
      </c>
      <c r="C171" s="9">
        <v>4560</v>
      </c>
    </row>
  </sheetData>
  <sortState xmlns:xlrd2="http://schemas.microsoft.com/office/spreadsheetml/2017/richdata2" ref="A2:E132">
    <sortCondition descending="1" ref="C2:C132"/>
  </sortState>
  <hyperlinks>
    <hyperlink ref="D1" r:id="rId1" xr:uid="{523D6108-E945-604E-99E0-5F2CE24AACD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69ED-3E16-974A-8238-2DD11FA16EC6}">
  <dimension ref="A1:C160"/>
  <sheetViews>
    <sheetView zoomScale="108" zoomScaleNormal="100" workbookViewId="0">
      <selection activeCell="C126" sqref="C126"/>
    </sheetView>
  </sheetViews>
  <sheetFormatPr baseColWidth="10" defaultRowHeight="16" x14ac:dyDescent="0.2"/>
  <cols>
    <col min="1" max="1" width="28.83203125" customWidth="1"/>
    <col min="2" max="2" width="19.6640625" style="10" customWidth="1"/>
    <col min="3" max="3" width="126.33203125" customWidth="1"/>
  </cols>
  <sheetData>
    <row r="1" spans="1:3" s="3" customFormat="1" ht="19" x14ac:dyDescent="0.25">
      <c r="A1" s="39" t="s">
        <v>203</v>
      </c>
      <c r="B1" s="42" t="s">
        <v>205</v>
      </c>
      <c r="C1" t="s">
        <v>268</v>
      </c>
    </row>
    <row r="2" spans="1:3" x14ac:dyDescent="0.2">
      <c r="A2" s="28" t="s">
        <v>49</v>
      </c>
      <c r="B2" s="31">
        <v>221450</v>
      </c>
    </row>
    <row r="3" spans="1:3" x14ac:dyDescent="0.2">
      <c r="A3" s="28" t="s">
        <v>48</v>
      </c>
      <c r="B3" s="31">
        <v>221450</v>
      </c>
    </row>
    <row r="4" spans="1:3" x14ac:dyDescent="0.2">
      <c r="A4" s="28" t="s">
        <v>68</v>
      </c>
      <c r="B4" s="31">
        <v>221450</v>
      </c>
    </row>
    <row r="5" spans="1:3" x14ac:dyDescent="0.2">
      <c r="A5" s="28" t="s">
        <v>64</v>
      </c>
      <c r="B5" s="31">
        <v>221450</v>
      </c>
    </row>
    <row r="6" spans="1:3" x14ac:dyDescent="0.2">
      <c r="A6" s="28" t="s">
        <v>51</v>
      </c>
      <c r="B6" s="31">
        <v>221450</v>
      </c>
    </row>
    <row r="7" spans="1:3" x14ac:dyDescent="0.2">
      <c r="A7" s="28" t="s">
        <v>72</v>
      </c>
      <c r="B7" s="31">
        <v>221450</v>
      </c>
    </row>
    <row r="8" spans="1:3" x14ac:dyDescent="0.2">
      <c r="A8" s="28" t="s">
        <v>61</v>
      </c>
      <c r="B8" s="31">
        <v>221450</v>
      </c>
    </row>
    <row r="9" spans="1:3" x14ac:dyDescent="0.2">
      <c r="A9" s="28" t="s">
        <v>75</v>
      </c>
      <c r="B9" s="31">
        <v>215000</v>
      </c>
    </row>
    <row r="10" spans="1:3" x14ac:dyDescent="0.2">
      <c r="A10" s="28" t="s">
        <v>117</v>
      </c>
      <c r="B10" s="31">
        <v>209550</v>
      </c>
    </row>
    <row r="11" spans="1:3" x14ac:dyDescent="0.2">
      <c r="A11" s="28" t="s">
        <v>82</v>
      </c>
      <c r="B11" s="31">
        <v>200000</v>
      </c>
    </row>
    <row r="12" spans="1:3" x14ac:dyDescent="0.2">
      <c r="A12" s="28" t="s">
        <v>63</v>
      </c>
      <c r="B12" s="31">
        <v>200000</v>
      </c>
    </row>
    <row r="13" spans="1:3" x14ac:dyDescent="0.2">
      <c r="A13" s="28" t="s">
        <v>60</v>
      </c>
      <c r="B13" s="31">
        <v>194000</v>
      </c>
    </row>
    <row r="14" spans="1:3" x14ac:dyDescent="0.2">
      <c r="A14" s="28" t="s">
        <v>71</v>
      </c>
      <c r="B14" s="31">
        <v>190550</v>
      </c>
    </row>
    <row r="15" spans="1:3" x14ac:dyDescent="0.2">
      <c r="A15" s="28" t="s">
        <v>101</v>
      </c>
      <c r="B15" s="31">
        <v>190550</v>
      </c>
    </row>
    <row r="16" spans="1:3" x14ac:dyDescent="0.2">
      <c r="A16" s="28" t="s">
        <v>128</v>
      </c>
      <c r="B16" s="31">
        <v>190550</v>
      </c>
    </row>
    <row r="17" spans="1:2" x14ac:dyDescent="0.2">
      <c r="A17" s="28" t="s">
        <v>77</v>
      </c>
      <c r="B17" s="31">
        <v>190550</v>
      </c>
    </row>
    <row r="18" spans="1:2" x14ac:dyDescent="0.2">
      <c r="A18" s="28" t="s">
        <v>56</v>
      </c>
      <c r="B18" s="31">
        <v>190550</v>
      </c>
    </row>
    <row r="19" spans="1:2" x14ac:dyDescent="0.2">
      <c r="A19" s="28" t="s">
        <v>79</v>
      </c>
      <c r="B19" s="31">
        <v>190550</v>
      </c>
    </row>
    <row r="20" spans="1:2" x14ac:dyDescent="0.2">
      <c r="A20" s="28" t="s">
        <v>129</v>
      </c>
      <c r="B20" s="31">
        <v>190550</v>
      </c>
    </row>
    <row r="21" spans="1:2" x14ac:dyDescent="0.2">
      <c r="A21" s="28" t="s">
        <v>124</v>
      </c>
      <c r="B21" s="31">
        <v>190550</v>
      </c>
    </row>
    <row r="22" spans="1:2" x14ac:dyDescent="0.2">
      <c r="A22" s="28" t="s">
        <v>83</v>
      </c>
      <c r="B22" s="31">
        <v>190550</v>
      </c>
    </row>
    <row r="23" spans="1:2" x14ac:dyDescent="0.2">
      <c r="A23" s="28" t="s">
        <v>130</v>
      </c>
      <c r="B23" s="31">
        <v>190550</v>
      </c>
    </row>
    <row r="24" spans="1:2" x14ac:dyDescent="0.2">
      <c r="A24" s="28" t="s">
        <v>69</v>
      </c>
      <c r="B24" s="31">
        <v>190000</v>
      </c>
    </row>
    <row r="25" spans="1:2" x14ac:dyDescent="0.2">
      <c r="A25" s="28" t="s">
        <v>59</v>
      </c>
      <c r="B25" s="31">
        <v>190000</v>
      </c>
    </row>
    <row r="26" spans="1:2" x14ac:dyDescent="0.2">
      <c r="A26" s="28" t="s">
        <v>81</v>
      </c>
      <c r="B26" s="31">
        <f>111520+75000</f>
        <v>186520</v>
      </c>
    </row>
    <row r="27" spans="1:2" x14ac:dyDescent="0.2">
      <c r="A27" s="28" t="s">
        <v>88</v>
      </c>
      <c r="B27" s="31">
        <v>185000</v>
      </c>
    </row>
    <row r="28" spans="1:2" x14ac:dyDescent="0.2">
      <c r="A28" s="28" t="s">
        <v>62</v>
      </c>
      <c r="B28" s="31">
        <v>185000</v>
      </c>
    </row>
    <row r="29" spans="1:2" x14ac:dyDescent="0.2">
      <c r="A29" s="28" t="s">
        <v>116</v>
      </c>
      <c r="B29" s="31">
        <v>180000</v>
      </c>
    </row>
    <row r="30" spans="1:2" x14ac:dyDescent="0.2">
      <c r="A30" s="28" t="s">
        <v>52</v>
      </c>
      <c r="B30" s="31">
        <f>142000+36541</f>
        <v>178541</v>
      </c>
    </row>
    <row r="31" spans="1:2" x14ac:dyDescent="0.2">
      <c r="A31" s="28" t="s">
        <v>257</v>
      </c>
      <c r="B31" s="31">
        <f>108421+70040</f>
        <v>178461</v>
      </c>
    </row>
    <row r="32" spans="1:2" x14ac:dyDescent="0.2">
      <c r="A32" s="28" t="s">
        <v>123</v>
      </c>
      <c r="B32" s="31">
        <v>175100</v>
      </c>
    </row>
    <row r="33" spans="1:2" x14ac:dyDescent="0.2">
      <c r="A33" s="28" t="s">
        <v>94</v>
      </c>
      <c r="B33" s="31">
        <v>175100</v>
      </c>
    </row>
    <row r="34" spans="1:2" x14ac:dyDescent="0.2">
      <c r="A34" s="28" t="s">
        <v>50</v>
      </c>
      <c r="B34" s="31">
        <v>175000</v>
      </c>
    </row>
    <row r="35" spans="1:2" x14ac:dyDescent="0.2">
      <c r="A35" s="28" t="s">
        <v>70</v>
      </c>
      <c r="B35" s="31">
        <v>175000</v>
      </c>
    </row>
    <row r="36" spans="1:2" x14ac:dyDescent="0.2">
      <c r="A36" s="28" t="s">
        <v>76</v>
      </c>
      <c r="B36" s="31">
        <v>175000</v>
      </c>
    </row>
    <row r="37" spans="1:2" x14ac:dyDescent="0.2">
      <c r="A37" s="28" t="s">
        <v>132</v>
      </c>
      <c r="B37" s="31">
        <v>175000</v>
      </c>
    </row>
    <row r="38" spans="1:2" x14ac:dyDescent="0.2">
      <c r="A38" s="28" t="s">
        <v>107</v>
      </c>
      <c r="B38" s="31">
        <f>120000+33914+17694</f>
        <v>171608</v>
      </c>
    </row>
    <row r="39" spans="1:2" x14ac:dyDescent="0.2">
      <c r="A39" s="28" t="s">
        <v>127</v>
      </c>
      <c r="B39" s="31">
        <v>165000</v>
      </c>
    </row>
    <row r="40" spans="1:2" x14ac:dyDescent="0.2">
      <c r="A40" s="28" t="s">
        <v>95</v>
      </c>
      <c r="B40" s="31">
        <v>164500</v>
      </c>
    </row>
    <row r="41" spans="1:2" x14ac:dyDescent="0.2">
      <c r="A41" s="28" t="s">
        <v>131</v>
      </c>
      <c r="B41" s="31">
        <v>160000</v>
      </c>
    </row>
    <row r="42" spans="1:2" x14ac:dyDescent="0.2">
      <c r="A42" s="28" t="s">
        <v>91</v>
      </c>
      <c r="B42" s="31">
        <v>155000</v>
      </c>
    </row>
    <row r="43" spans="1:2" x14ac:dyDescent="0.2">
      <c r="A43" s="28" t="s">
        <v>149</v>
      </c>
      <c r="B43" s="31">
        <v>154500</v>
      </c>
    </row>
    <row r="44" spans="1:2" x14ac:dyDescent="0.2">
      <c r="A44" s="28" t="s">
        <v>73</v>
      </c>
      <c r="B44" s="31">
        <v>152300</v>
      </c>
    </row>
    <row r="45" spans="1:2" x14ac:dyDescent="0.2">
      <c r="A45" s="28" t="s">
        <v>153</v>
      </c>
      <c r="B45" s="31">
        <v>150350</v>
      </c>
    </row>
    <row r="46" spans="1:2" x14ac:dyDescent="0.2">
      <c r="A46" s="28" t="s">
        <v>67</v>
      </c>
      <c r="B46" s="31">
        <v>145000</v>
      </c>
    </row>
    <row r="47" spans="1:2" x14ac:dyDescent="0.2">
      <c r="A47" s="28" t="s">
        <v>152</v>
      </c>
      <c r="B47" s="31">
        <v>144200</v>
      </c>
    </row>
    <row r="48" spans="1:2" x14ac:dyDescent="0.2">
      <c r="A48" s="28" t="s">
        <v>118</v>
      </c>
      <c r="B48" s="31">
        <v>140000</v>
      </c>
    </row>
    <row r="49" spans="1:2" x14ac:dyDescent="0.2">
      <c r="A49" s="28" t="s">
        <v>267</v>
      </c>
      <c r="B49" s="31">
        <v>135000</v>
      </c>
    </row>
    <row r="50" spans="1:2" x14ac:dyDescent="0.2">
      <c r="A50" s="28" t="s">
        <v>96</v>
      </c>
      <c r="B50" s="31">
        <v>126000</v>
      </c>
    </row>
    <row r="51" spans="1:2" x14ac:dyDescent="0.2">
      <c r="A51" s="28" t="s">
        <v>105</v>
      </c>
      <c r="B51" s="31">
        <v>123500</v>
      </c>
    </row>
    <row r="52" spans="1:2" x14ac:dyDescent="0.2">
      <c r="A52" s="28" t="s">
        <v>53</v>
      </c>
      <c r="B52" s="31">
        <v>121500</v>
      </c>
    </row>
    <row r="53" spans="1:2" x14ac:dyDescent="0.2">
      <c r="A53" s="28" t="s">
        <v>55</v>
      </c>
      <c r="B53" s="31">
        <v>121500</v>
      </c>
    </row>
    <row r="54" spans="1:2" x14ac:dyDescent="0.2">
      <c r="A54" s="28" t="s">
        <v>142</v>
      </c>
      <c r="B54" s="31">
        <v>120000</v>
      </c>
    </row>
    <row r="55" spans="1:2" x14ac:dyDescent="0.2">
      <c r="A55" s="28" t="s">
        <v>65</v>
      </c>
      <c r="B55" s="31">
        <v>119780</v>
      </c>
    </row>
    <row r="56" spans="1:2" x14ac:dyDescent="0.2">
      <c r="A56" s="28" t="s">
        <v>84</v>
      </c>
      <c r="B56" s="31">
        <v>119000</v>
      </c>
    </row>
    <row r="57" spans="1:2" x14ac:dyDescent="0.2">
      <c r="A57" s="28" t="s">
        <v>85</v>
      </c>
      <c r="B57" s="31">
        <v>117894</v>
      </c>
    </row>
    <row r="58" spans="1:2" x14ac:dyDescent="0.2">
      <c r="A58" s="28" t="s">
        <v>228</v>
      </c>
      <c r="B58" s="31">
        <v>115000</v>
      </c>
    </row>
    <row r="59" spans="1:2" x14ac:dyDescent="0.2">
      <c r="A59" s="28" t="s">
        <v>58</v>
      </c>
      <c r="B59" s="31">
        <v>113000</v>
      </c>
    </row>
    <row r="60" spans="1:2" x14ac:dyDescent="0.2">
      <c r="A60" s="28" t="s">
        <v>143</v>
      </c>
      <c r="B60" s="31">
        <v>110000</v>
      </c>
    </row>
    <row r="61" spans="1:2" x14ac:dyDescent="0.2">
      <c r="A61" s="28" t="s">
        <v>227</v>
      </c>
      <c r="B61" s="31">
        <v>110000</v>
      </c>
    </row>
    <row r="62" spans="1:2" x14ac:dyDescent="0.2">
      <c r="A62" s="28" t="s">
        <v>113</v>
      </c>
      <c r="B62" s="31">
        <v>105037</v>
      </c>
    </row>
    <row r="63" spans="1:2" x14ac:dyDescent="0.2">
      <c r="A63" s="28" t="s">
        <v>89</v>
      </c>
      <c r="B63" s="31">
        <v>91250</v>
      </c>
    </row>
    <row r="64" spans="1:2" x14ac:dyDescent="0.2">
      <c r="A64" s="28" t="s">
        <v>109</v>
      </c>
      <c r="B64" s="31">
        <v>89200</v>
      </c>
    </row>
    <row r="65" spans="1:2" x14ac:dyDescent="0.2">
      <c r="A65" s="28" t="s">
        <v>122</v>
      </c>
      <c r="B65" s="31">
        <f xml:space="preserve"> 52042+31702</f>
        <v>83744</v>
      </c>
    </row>
    <row r="66" spans="1:2" x14ac:dyDescent="0.2">
      <c r="A66" s="28" t="s">
        <v>164</v>
      </c>
      <c r="B66" s="31">
        <v>80000</v>
      </c>
    </row>
    <row r="67" spans="1:2" x14ac:dyDescent="0.2">
      <c r="A67" s="28" t="s">
        <v>108</v>
      </c>
      <c r="B67" s="31">
        <f>45000+32000</f>
        <v>77000</v>
      </c>
    </row>
    <row r="68" spans="1:2" x14ac:dyDescent="0.2">
      <c r="A68" s="28" t="s">
        <v>165</v>
      </c>
      <c r="B68" s="31">
        <v>72000</v>
      </c>
    </row>
    <row r="69" spans="1:2" x14ac:dyDescent="0.2">
      <c r="A69" s="28" t="s">
        <v>222</v>
      </c>
      <c r="B69" s="31">
        <v>70040</v>
      </c>
    </row>
    <row r="70" spans="1:2" x14ac:dyDescent="0.2">
      <c r="A70" s="28" t="s">
        <v>154</v>
      </c>
      <c r="B70" s="31">
        <v>70040</v>
      </c>
    </row>
    <row r="71" spans="1:2" x14ac:dyDescent="0.2">
      <c r="A71" s="28" t="s">
        <v>174</v>
      </c>
      <c r="B71" s="31">
        <v>70040</v>
      </c>
    </row>
    <row r="72" spans="1:2" ht="18" customHeight="1" x14ac:dyDescent="0.2">
      <c r="A72" s="28" t="s">
        <v>155</v>
      </c>
      <c r="B72" s="31">
        <v>70040</v>
      </c>
    </row>
    <row r="73" spans="1:2" x14ac:dyDescent="0.2">
      <c r="A73" s="28" t="s">
        <v>141</v>
      </c>
      <c r="B73" s="31">
        <v>70040</v>
      </c>
    </row>
    <row r="74" spans="1:2" x14ac:dyDescent="0.2">
      <c r="A74" s="28" t="s">
        <v>236</v>
      </c>
      <c r="B74" s="31">
        <v>70040</v>
      </c>
    </row>
    <row r="75" spans="1:2" x14ac:dyDescent="0.2">
      <c r="A75" s="28" t="s">
        <v>137</v>
      </c>
      <c r="B75" s="31">
        <v>70040</v>
      </c>
    </row>
    <row r="76" spans="1:2" x14ac:dyDescent="0.2">
      <c r="A76" s="28" t="s">
        <v>241</v>
      </c>
      <c r="B76" s="31">
        <v>70040</v>
      </c>
    </row>
    <row r="77" spans="1:2" x14ac:dyDescent="0.2">
      <c r="A77" s="28" t="s">
        <v>175</v>
      </c>
      <c r="B77" s="31">
        <v>70040</v>
      </c>
    </row>
    <row r="78" spans="1:2" x14ac:dyDescent="0.2">
      <c r="A78" s="28" t="s">
        <v>253</v>
      </c>
      <c r="B78" s="31">
        <v>70040</v>
      </c>
    </row>
    <row r="79" spans="1:2" x14ac:dyDescent="0.2">
      <c r="A79" s="28" t="s">
        <v>255</v>
      </c>
      <c r="B79" s="31">
        <v>70040</v>
      </c>
    </row>
    <row r="80" spans="1:2" x14ac:dyDescent="0.2">
      <c r="A80" s="28" t="s">
        <v>138</v>
      </c>
      <c r="B80" s="31">
        <v>70040</v>
      </c>
    </row>
    <row r="81" spans="1:2" x14ac:dyDescent="0.2">
      <c r="A81" s="28" t="s">
        <v>167</v>
      </c>
      <c r="B81" s="31">
        <v>70040</v>
      </c>
    </row>
    <row r="82" spans="1:2" x14ac:dyDescent="0.2">
      <c r="A82" s="28" t="s">
        <v>99</v>
      </c>
      <c r="B82" s="31">
        <v>70040</v>
      </c>
    </row>
    <row r="83" spans="1:2" x14ac:dyDescent="0.2">
      <c r="A83" s="28" t="s">
        <v>192</v>
      </c>
      <c r="B83" s="31">
        <v>70040</v>
      </c>
    </row>
    <row r="84" spans="1:2" x14ac:dyDescent="0.2">
      <c r="A84" s="28" t="s">
        <v>201</v>
      </c>
      <c r="B84" s="31">
        <v>70040</v>
      </c>
    </row>
    <row r="85" spans="1:2" x14ac:dyDescent="0.2">
      <c r="A85" s="28" t="s">
        <v>173</v>
      </c>
      <c r="B85" s="31">
        <v>70040</v>
      </c>
    </row>
    <row r="86" spans="1:2" x14ac:dyDescent="0.2">
      <c r="A86" s="28" t="s">
        <v>140</v>
      </c>
      <c r="B86" s="31">
        <v>70040</v>
      </c>
    </row>
    <row r="87" spans="1:2" x14ac:dyDescent="0.2">
      <c r="A87" s="28" t="s">
        <v>121</v>
      </c>
      <c r="B87" s="31">
        <v>70040</v>
      </c>
    </row>
    <row r="88" spans="1:2" x14ac:dyDescent="0.2">
      <c r="A88" s="28" t="s">
        <v>206</v>
      </c>
      <c r="B88" s="31">
        <v>69360</v>
      </c>
    </row>
    <row r="89" spans="1:2" x14ac:dyDescent="0.2">
      <c r="A89" s="28" t="s">
        <v>213</v>
      </c>
      <c r="B89" s="31">
        <v>69360</v>
      </c>
    </row>
    <row r="90" spans="1:2" x14ac:dyDescent="0.2">
      <c r="A90" s="28" t="s">
        <v>219</v>
      </c>
      <c r="B90" s="31">
        <v>69360</v>
      </c>
    </row>
    <row r="91" spans="1:2" x14ac:dyDescent="0.2">
      <c r="A91" s="28" t="s">
        <v>239</v>
      </c>
      <c r="B91" s="31">
        <v>67208</v>
      </c>
    </row>
    <row r="92" spans="1:2" x14ac:dyDescent="0.2">
      <c r="A92" s="28" t="s">
        <v>258</v>
      </c>
      <c r="B92" s="31">
        <v>67208</v>
      </c>
    </row>
    <row r="93" spans="1:2" x14ac:dyDescent="0.2">
      <c r="A93" s="28" t="s">
        <v>263</v>
      </c>
      <c r="B93" s="31">
        <v>67208</v>
      </c>
    </row>
    <row r="94" spans="1:2" x14ac:dyDescent="0.2">
      <c r="A94" s="28" t="s">
        <v>220</v>
      </c>
      <c r="B94" s="31">
        <v>66555</v>
      </c>
    </row>
    <row r="95" spans="1:2" x14ac:dyDescent="0.2">
      <c r="A95" s="28" t="s">
        <v>221</v>
      </c>
      <c r="B95" s="31">
        <v>66555</v>
      </c>
    </row>
    <row r="96" spans="1:2" x14ac:dyDescent="0.2">
      <c r="A96" s="28" t="s">
        <v>209</v>
      </c>
      <c r="B96" s="31">
        <v>66555</v>
      </c>
    </row>
    <row r="97" spans="1:2" x14ac:dyDescent="0.2">
      <c r="A97" s="28" t="s">
        <v>224</v>
      </c>
      <c r="B97" s="31">
        <v>66555</v>
      </c>
    </row>
    <row r="98" spans="1:2" x14ac:dyDescent="0.2">
      <c r="A98" s="28" t="s">
        <v>238</v>
      </c>
      <c r="B98" s="31">
        <v>64375</v>
      </c>
    </row>
    <row r="99" spans="1:2" x14ac:dyDescent="0.2">
      <c r="A99" s="28" t="s">
        <v>266</v>
      </c>
      <c r="B99" s="31">
        <v>64375</v>
      </c>
    </row>
    <row r="100" spans="1:2" x14ac:dyDescent="0.2">
      <c r="A100" s="28" t="s">
        <v>210</v>
      </c>
      <c r="B100" s="31">
        <f>34315+29664</f>
        <v>63979</v>
      </c>
    </row>
    <row r="101" spans="1:2" x14ac:dyDescent="0.2">
      <c r="A101" s="28" t="s">
        <v>214</v>
      </c>
      <c r="B101" s="31">
        <v>63751</v>
      </c>
    </row>
    <row r="102" spans="1:2" x14ac:dyDescent="0.2">
      <c r="A102" s="28" t="s">
        <v>215</v>
      </c>
      <c r="B102" s="31">
        <v>63751</v>
      </c>
    </row>
    <row r="103" spans="1:2" x14ac:dyDescent="0.2">
      <c r="A103" s="28" t="s">
        <v>216</v>
      </c>
      <c r="B103" s="31">
        <v>63751</v>
      </c>
    </row>
    <row r="104" spans="1:2" x14ac:dyDescent="0.2">
      <c r="A104" s="28" t="s">
        <v>156</v>
      </c>
      <c r="B104" s="31">
        <v>62014</v>
      </c>
    </row>
    <row r="105" spans="1:2" x14ac:dyDescent="0.2">
      <c r="A105" s="28" t="s">
        <v>234</v>
      </c>
      <c r="B105" s="31">
        <v>61543</v>
      </c>
    </row>
    <row r="106" spans="1:2" x14ac:dyDescent="0.2">
      <c r="A106" s="28" t="s">
        <v>240</v>
      </c>
      <c r="B106" s="31">
        <v>61543</v>
      </c>
    </row>
    <row r="107" spans="1:2" x14ac:dyDescent="0.2">
      <c r="A107" s="28" t="s">
        <v>244</v>
      </c>
      <c r="B107" s="31">
        <v>61543</v>
      </c>
    </row>
    <row r="108" spans="1:2" x14ac:dyDescent="0.2">
      <c r="A108" s="28" t="s">
        <v>260</v>
      </c>
      <c r="B108" s="31">
        <v>61543</v>
      </c>
    </row>
    <row r="109" spans="1:2" x14ac:dyDescent="0.2">
      <c r="A109" s="28" t="s">
        <v>262</v>
      </c>
      <c r="B109" s="31">
        <v>61543</v>
      </c>
    </row>
    <row r="110" spans="1:2" x14ac:dyDescent="0.2">
      <c r="A110" s="28" t="s">
        <v>235</v>
      </c>
      <c r="B110" s="31">
        <v>60946</v>
      </c>
    </row>
    <row r="111" spans="1:2" x14ac:dyDescent="0.2">
      <c r="A111" s="28" t="s">
        <v>225</v>
      </c>
      <c r="B111" s="31">
        <v>60946</v>
      </c>
    </row>
    <row r="112" spans="1:2" x14ac:dyDescent="0.2">
      <c r="A112" s="28" t="s">
        <v>217</v>
      </c>
      <c r="B112" s="31">
        <v>60946</v>
      </c>
    </row>
    <row r="113" spans="1:2" x14ac:dyDescent="0.2">
      <c r="A113" s="28" t="s">
        <v>218</v>
      </c>
      <c r="B113" s="31">
        <v>60946</v>
      </c>
    </row>
    <row r="114" spans="1:2" x14ac:dyDescent="0.2">
      <c r="A114" s="28" t="s">
        <v>146</v>
      </c>
      <c r="B114" s="31">
        <v>60069</v>
      </c>
    </row>
    <row r="115" spans="1:2" x14ac:dyDescent="0.2">
      <c r="A115" s="28" t="s">
        <v>147</v>
      </c>
      <c r="B115" s="31">
        <v>60069</v>
      </c>
    </row>
    <row r="116" spans="1:2" x14ac:dyDescent="0.2">
      <c r="A116" s="28" t="s">
        <v>148</v>
      </c>
      <c r="B116" s="31">
        <v>60069</v>
      </c>
    </row>
    <row r="117" spans="1:2" x14ac:dyDescent="0.2">
      <c r="A117" s="28" t="s">
        <v>231</v>
      </c>
      <c r="B117" s="31">
        <v>58710</v>
      </c>
    </row>
    <row r="118" spans="1:2" x14ac:dyDescent="0.2">
      <c r="A118" s="28" t="s">
        <v>183</v>
      </c>
      <c r="B118" s="31">
        <v>58710</v>
      </c>
    </row>
    <row r="119" spans="1:2" x14ac:dyDescent="0.2">
      <c r="A119" s="28" t="s">
        <v>226</v>
      </c>
      <c r="B119" s="31">
        <v>58710</v>
      </c>
    </row>
    <row r="120" spans="1:2" x14ac:dyDescent="0.2">
      <c r="A120" s="28" t="s">
        <v>158</v>
      </c>
      <c r="B120" s="31">
        <v>58710</v>
      </c>
    </row>
    <row r="121" spans="1:2" x14ac:dyDescent="0.2">
      <c r="A121" s="28" t="s">
        <v>237</v>
      </c>
      <c r="B121" s="31">
        <v>58710</v>
      </c>
    </row>
    <row r="122" spans="1:2" x14ac:dyDescent="0.2">
      <c r="A122" s="28" t="s">
        <v>179</v>
      </c>
      <c r="B122" s="31">
        <v>58710</v>
      </c>
    </row>
    <row r="123" spans="1:2" x14ac:dyDescent="0.2">
      <c r="A123" s="28" t="s">
        <v>246</v>
      </c>
      <c r="B123" s="31">
        <v>58710</v>
      </c>
    </row>
    <row r="124" spans="1:2" x14ac:dyDescent="0.2">
      <c r="A124" s="28" t="s">
        <v>196</v>
      </c>
      <c r="B124" s="31">
        <v>58710</v>
      </c>
    </row>
    <row r="125" spans="1:2" x14ac:dyDescent="0.2">
      <c r="A125" s="28" t="s">
        <v>251</v>
      </c>
      <c r="B125" s="31">
        <v>58710</v>
      </c>
    </row>
    <row r="126" spans="1:2" x14ac:dyDescent="0.2">
      <c r="A126" s="28" t="s">
        <v>252</v>
      </c>
      <c r="B126" s="31">
        <v>58710</v>
      </c>
    </row>
    <row r="127" spans="1:2" x14ac:dyDescent="0.2">
      <c r="A127" s="28" t="s">
        <v>181</v>
      </c>
      <c r="B127" s="31">
        <v>58710</v>
      </c>
    </row>
    <row r="128" spans="1:2" x14ac:dyDescent="0.2">
      <c r="A128" s="28" t="s">
        <v>171</v>
      </c>
      <c r="B128" s="31">
        <v>58710</v>
      </c>
    </row>
    <row r="129" spans="1:2" x14ac:dyDescent="0.2">
      <c r="A129" s="28" t="s">
        <v>256</v>
      </c>
      <c r="B129" s="31">
        <v>58710</v>
      </c>
    </row>
    <row r="130" spans="1:2" x14ac:dyDescent="0.2">
      <c r="A130" s="28" t="s">
        <v>159</v>
      </c>
      <c r="B130" s="31">
        <v>58710</v>
      </c>
    </row>
    <row r="131" spans="1:2" x14ac:dyDescent="0.2">
      <c r="A131" s="28" t="s">
        <v>177</v>
      </c>
      <c r="B131" s="31">
        <v>58710</v>
      </c>
    </row>
    <row r="132" spans="1:2" x14ac:dyDescent="0.2">
      <c r="A132" s="28" t="s">
        <v>200</v>
      </c>
      <c r="B132" s="31">
        <v>58710</v>
      </c>
    </row>
    <row r="133" spans="1:2" x14ac:dyDescent="0.2">
      <c r="A133" s="28" t="s">
        <v>182</v>
      </c>
      <c r="B133" s="31">
        <v>58710</v>
      </c>
    </row>
    <row r="134" spans="1:2" x14ac:dyDescent="0.2">
      <c r="A134" s="28" t="s">
        <v>160</v>
      </c>
      <c r="B134" s="31">
        <v>58710</v>
      </c>
    </row>
    <row r="135" spans="1:2" x14ac:dyDescent="0.2">
      <c r="A135" s="28" t="s">
        <v>172</v>
      </c>
      <c r="B135" s="31">
        <v>58710</v>
      </c>
    </row>
    <row r="136" spans="1:2" x14ac:dyDescent="0.2">
      <c r="A136" t="s">
        <v>150</v>
      </c>
      <c r="B136" s="10">
        <f>35389+7742+6635</f>
        <v>49766</v>
      </c>
    </row>
    <row r="137" spans="1:2" x14ac:dyDescent="0.2">
      <c r="A137" t="s">
        <v>166</v>
      </c>
      <c r="B137" s="10">
        <f>47185+1106</f>
        <v>48291</v>
      </c>
    </row>
    <row r="138" spans="1:2" x14ac:dyDescent="0.2">
      <c r="A138" t="s">
        <v>185</v>
      </c>
      <c r="B138" s="10">
        <f>34651+10506</f>
        <v>45157</v>
      </c>
    </row>
    <row r="139" spans="1:2" x14ac:dyDescent="0.2">
      <c r="A139" t="s">
        <v>232</v>
      </c>
      <c r="B139" s="10">
        <f xml:space="preserve"> 24330+10322+6635+3318</f>
        <v>44605</v>
      </c>
    </row>
    <row r="140" spans="1:2" x14ac:dyDescent="0.2">
      <c r="A140" t="s">
        <v>233</v>
      </c>
      <c r="B140" s="10">
        <f>12978+11124+9734+9270</f>
        <v>43106</v>
      </c>
    </row>
    <row r="141" spans="1:2" x14ac:dyDescent="0.2">
      <c r="A141" t="s">
        <v>144</v>
      </c>
      <c r="B141" s="10">
        <f>24330+10322+3871</f>
        <v>38523</v>
      </c>
    </row>
    <row r="142" spans="1:2" x14ac:dyDescent="0.2">
      <c r="A142" t="s">
        <v>261</v>
      </c>
      <c r="B142" s="10">
        <f>17304+17150+3245</f>
        <v>37699</v>
      </c>
    </row>
    <row r="143" spans="1:2" x14ac:dyDescent="0.2">
      <c r="A143" t="s">
        <v>265</v>
      </c>
      <c r="B143" s="10">
        <f>31095+4326</f>
        <v>35421</v>
      </c>
    </row>
    <row r="144" spans="1:2" x14ac:dyDescent="0.2">
      <c r="A144" t="s">
        <v>195</v>
      </c>
      <c r="B144" s="10">
        <f>16068+12978+6180</f>
        <v>35226</v>
      </c>
    </row>
    <row r="145" spans="1:2" x14ac:dyDescent="0.2">
      <c r="A145" t="s">
        <v>259</v>
      </c>
      <c r="B145" s="10">
        <f>30900+3708</f>
        <v>34608</v>
      </c>
    </row>
    <row r="146" spans="1:2" x14ac:dyDescent="0.2">
      <c r="A146" t="s">
        <v>249</v>
      </c>
      <c r="B146" s="10">
        <v>29664</v>
      </c>
    </row>
    <row r="147" spans="1:2" x14ac:dyDescent="0.2">
      <c r="A147" t="s">
        <v>170</v>
      </c>
      <c r="B147" s="10">
        <v>29664</v>
      </c>
    </row>
    <row r="148" spans="1:2" x14ac:dyDescent="0.2">
      <c r="A148" t="s">
        <v>169</v>
      </c>
      <c r="B148" s="10">
        <f>13596+11124</f>
        <v>24720</v>
      </c>
    </row>
    <row r="149" spans="1:2" x14ac:dyDescent="0.2">
      <c r="A149" t="s">
        <v>248</v>
      </c>
      <c r="B149" s="10">
        <f>20394+464</f>
        <v>20858</v>
      </c>
    </row>
    <row r="150" spans="1:2" x14ac:dyDescent="0.2">
      <c r="A150" t="s">
        <v>194</v>
      </c>
      <c r="B150" s="10">
        <v>20609</v>
      </c>
    </row>
    <row r="151" spans="1:2" x14ac:dyDescent="0.2">
      <c r="A151" t="s">
        <v>247</v>
      </c>
      <c r="B151" s="10">
        <v>15564</v>
      </c>
    </row>
    <row r="152" spans="1:2" x14ac:dyDescent="0.2">
      <c r="A152" t="s">
        <v>264</v>
      </c>
      <c r="B152" s="10">
        <v>14908</v>
      </c>
    </row>
    <row r="153" spans="1:2" x14ac:dyDescent="0.2">
      <c r="A153" t="s">
        <v>243</v>
      </c>
      <c r="B153" s="10">
        <v>12978</v>
      </c>
    </row>
    <row r="154" spans="1:2" x14ac:dyDescent="0.2">
      <c r="A154" t="s">
        <v>197</v>
      </c>
      <c r="B154" s="10">
        <f xml:space="preserve"> 6798 +3245+1391</f>
        <v>11434</v>
      </c>
    </row>
    <row r="155" spans="1:2" x14ac:dyDescent="0.2">
      <c r="A155" t="s">
        <v>157</v>
      </c>
      <c r="B155" s="10">
        <v>9270</v>
      </c>
    </row>
    <row r="156" spans="1:2" x14ac:dyDescent="0.2">
      <c r="A156" t="s">
        <v>250</v>
      </c>
      <c r="B156" s="10">
        <v>4326</v>
      </c>
    </row>
    <row r="157" spans="1:2" x14ac:dyDescent="0.2">
      <c r="A157" t="s">
        <v>230</v>
      </c>
      <c r="B157" s="10">
        <v>3318</v>
      </c>
    </row>
    <row r="158" spans="1:2" x14ac:dyDescent="0.2">
      <c r="A158" t="s">
        <v>245</v>
      </c>
      <c r="B158" s="10">
        <v>3245</v>
      </c>
    </row>
    <row r="159" spans="1:2" x14ac:dyDescent="0.2">
      <c r="A159" t="s">
        <v>254</v>
      </c>
      <c r="B159" s="10">
        <v>2472</v>
      </c>
    </row>
    <row r="160" spans="1:2" x14ac:dyDescent="0.2">
      <c r="A160" t="s">
        <v>242</v>
      </c>
      <c r="B160" s="10">
        <v>1391</v>
      </c>
    </row>
  </sheetData>
  <sortState xmlns:xlrd2="http://schemas.microsoft.com/office/spreadsheetml/2017/richdata2" ref="A2:D160">
    <sortCondition descending="1" ref="B2:B16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8F66-3ED4-954B-8FB0-50AC2B2E7F84}">
  <dimension ref="A1:AA203"/>
  <sheetViews>
    <sheetView topLeftCell="A163" zoomScale="116" zoomScaleNormal="102" workbookViewId="0">
      <selection activeCell="C14" sqref="C14"/>
    </sheetView>
  </sheetViews>
  <sheetFormatPr baseColWidth="10" defaultRowHeight="16" x14ac:dyDescent="0.2"/>
  <cols>
    <col min="1" max="1" width="35.33203125" style="1" customWidth="1"/>
    <col min="2" max="2" width="22.33203125" style="10" customWidth="1"/>
    <col min="3" max="3" width="73.33203125" customWidth="1"/>
  </cols>
  <sheetData>
    <row r="1" spans="1:27" s="3" customFormat="1" ht="36" customHeight="1" x14ac:dyDescent="0.2">
      <c r="A1" s="45" t="s">
        <v>203</v>
      </c>
      <c r="B1" s="43" t="s">
        <v>205</v>
      </c>
      <c r="C1" s="12" t="s">
        <v>391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7" x14ac:dyDescent="0.2">
      <c r="A2" s="46" t="s">
        <v>123</v>
      </c>
      <c r="B2" s="47">
        <v>228094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7" x14ac:dyDescent="0.2">
      <c r="A3" s="46" t="s">
        <v>124</v>
      </c>
      <c r="B3" s="47">
        <v>228094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7" x14ac:dyDescent="0.2">
      <c r="A4" s="46" t="s">
        <v>61</v>
      </c>
      <c r="B4" s="47">
        <v>228094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7" x14ac:dyDescent="0.2">
      <c r="A5" s="46" t="s">
        <v>55</v>
      </c>
      <c r="B5" s="47">
        <v>228094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7" x14ac:dyDescent="0.2">
      <c r="A6" s="46" t="s">
        <v>51</v>
      </c>
      <c r="B6" s="47">
        <v>227900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7" x14ac:dyDescent="0.2">
      <c r="A7" s="46" t="s">
        <v>64</v>
      </c>
      <c r="B7" s="47">
        <v>227900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7" x14ac:dyDescent="0.2">
      <c r="A8" s="46" t="s">
        <v>48</v>
      </c>
      <c r="B8" s="47">
        <v>227900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" x14ac:dyDescent="0.2">
      <c r="A9" s="46" t="s">
        <v>72</v>
      </c>
      <c r="B9" s="47">
        <v>227900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7" x14ac:dyDescent="0.2">
      <c r="A10" s="46" t="s">
        <v>75</v>
      </c>
      <c r="B10" s="47">
        <v>221450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7" x14ac:dyDescent="0.2">
      <c r="A11" s="46" t="s">
        <v>65</v>
      </c>
      <c r="B11" s="47">
        <v>215000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7" x14ac:dyDescent="0.2">
      <c r="A12" s="46" t="s">
        <v>71</v>
      </c>
      <c r="B12" s="47">
        <v>206267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7" x14ac:dyDescent="0.2">
      <c r="A13" s="46" t="s">
        <v>82</v>
      </c>
      <c r="B13" s="47">
        <v>206000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7" x14ac:dyDescent="0.2">
      <c r="A14" s="46" t="s">
        <v>128</v>
      </c>
      <c r="B14" s="47">
        <v>205000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7" x14ac:dyDescent="0.2">
      <c r="A15" s="46" t="s">
        <v>138</v>
      </c>
      <c r="B15" s="47">
        <v>200000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7" x14ac:dyDescent="0.2">
      <c r="A16" s="46" t="s">
        <v>127</v>
      </c>
      <c r="B16" s="47">
        <v>200000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7" x14ac:dyDescent="0.2">
      <c r="A17" s="46" t="s">
        <v>85</v>
      </c>
      <c r="B17" s="47">
        <v>200000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7" x14ac:dyDescent="0.2">
      <c r="A18" s="46" t="s">
        <v>101</v>
      </c>
      <c r="B18" s="47">
        <v>198911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7" x14ac:dyDescent="0.2">
      <c r="A19" s="46" t="s">
        <v>140</v>
      </c>
      <c r="B19" s="47">
        <v>196267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7" x14ac:dyDescent="0.2">
      <c r="A20" s="46" t="s">
        <v>79</v>
      </c>
      <c r="B20" s="47">
        <v>196267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7" x14ac:dyDescent="0.2">
      <c r="A21" s="46" t="s">
        <v>129</v>
      </c>
      <c r="B21" s="47">
        <v>196267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7" x14ac:dyDescent="0.2">
      <c r="A22" s="46" t="s">
        <v>77</v>
      </c>
      <c r="B22" s="47">
        <v>196267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7" x14ac:dyDescent="0.2">
      <c r="A23" s="46" t="s">
        <v>117</v>
      </c>
      <c r="B23" s="47">
        <v>196267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7" x14ac:dyDescent="0.2">
      <c r="A24" s="46" t="s">
        <v>83</v>
      </c>
      <c r="B24" s="47">
        <v>196100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7" x14ac:dyDescent="0.2">
      <c r="A25" s="46" t="s">
        <v>59</v>
      </c>
      <c r="B25" s="47">
        <v>195000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7" x14ac:dyDescent="0.2">
      <c r="A26" s="46" t="s">
        <v>63</v>
      </c>
      <c r="B26" s="47">
        <v>195000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7" x14ac:dyDescent="0.2">
      <c r="A27" s="46" t="s">
        <v>88</v>
      </c>
      <c r="B27" s="47">
        <v>190550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7" x14ac:dyDescent="0.2">
      <c r="A28" s="46" t="s">
        <v>62</v>
      </c>
      <c r="B28" s="47">
        <v>190000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7" x14ac:dyDescent="0.2">
      <c r="A29" s="46" t="s">
        <v>76</v>
      </c>
      <c r="B29" s="47">
        <v>186141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7" x14ac:dyDescent="0.2">
      <c r="A30" s="46" t="s">
        <v>116</v>
      </c>
      <c r="B30" s="47">
        <v>185400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7" x14ac:dyDescent="0.2">
      <c r="A31" s="46" t="s">
        <v>57</v>
      </c>
      <c r="B31" s="47">
        <v>185000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7" x14ac:dyDescent="0.2">
      <c r="A32" s="46" t="s">
        <v>69</v>
      </c>
      <c r="B32" s="47">
        <v>185000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7" x14ac:dyDescent="0.2">
      <c r="A33" s="46" t="s">
        <v>111</v>
      </c>
      <c r="B33" s="47">
        <v>183000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7" x14ac:dyDescent="0.2">
      <c r="A34" s="46" t="s">
        <v>132</v>
      </c>
      <c r="B34" s="47">
        <v>180250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7" x14ac:dyDescent="0.2">
      <c r="A35" s="46" t="s">
        <v>154</v>
      </c>
      <c r="B35" s="47">
        <v>170000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7" x14ac:dyDescent="0.2">
      <c r="A36" s="46" t="s">
        <v>175</v>
      </c>
      <c r="B36" s="47">
        <v>170000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7" x14ac:dyDescent="0.2">
      <c r="A37" s="46" t="s">
        <v>131</v>
      </c>
      <c r="B37" s="47">
        <v>164800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7" x14ac:dyDescent="0.2">
      <c r="A38" s="46" t="s">
        <v>70</v>
      </c>
      <c r="B38" s="47">
        <v>160000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7" x14ac:dyDescent="0.2">
      <c r="A39" s="46" t="s">
        <v>95</v>
      </c>
      <c r="B39" s="47">
        <v>160000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7" x14ac:dyDescent="0.2">
      <c r="A40" s="46" t="s">
        <v>192</v>
      </c>
      <c r="B40" s="47">
        <v>160000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7" x14ac:dyDescent="0.2">
      <c r="A41" s="46" t="s">
        <v>149</v>
      </c>
      <c r="B41" s="47">
        <v>159000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7" x14ac:dyDescent="0.2">
      <c r="A42" s="46" t="s">
        <v>91</v>
      </c>
      <c r="B42" s="47">
        <v>155000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7" x14ac:dyDescent="0.2">
      <c r="A43" s="46" t="s">
        <v>73</v>
      </c>
      <c r="B43" s="47">
        <v>152800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7" x14ac:dyDescent="0.2">
      <c r="A44" s="46" t="s">
        <v>153</v>
      </c>
      <c r="B44" s="47">
        <v>150350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7" x14ac:dyDescent="0.2">
      <c r="A45" s="46" t="s">
        <v>137</v>
      </c>
      <c r="B45" s="47">
        <v>150000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7" x14ac:dyDescent="0.2">
      <c r="A46" s="46" t="s">
        <v>152</v>
      </c>
      <c r="B46" s="47">
        <v>148400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7" x14ac:dyDescent="0.2">
      <c r="A47" s="46" t="s">
        <v>89</v>
      </c>
      <c r="B47" s="47">
        <v>145000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7" x14ac:dyDescent="0.2">
      <c r="A48" s="46" t="s">
        <v>139</v>
      </c>
      <c r="B48" s="47">
        <v>144000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7" x14ac:dyDescent="0.2">
      <c r="A49" s="46" t="s">
        <v>68</v>
      </c>
      <c r="B49" s="47">
        <v>141386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7" x14ac:dyDescent="0.2">
      <c r="A50" s="46" t="s">
        <v>113</v>
      </c>
      <c r="B50" s="47">
        <v>141000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7" x14ac:dyDescent="0.2">
      <c r="A51" s="46" t="s">
        <v>272</v>
      </c>
      <c r="B51" s="47">
        <v>140000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7" x14ac:dyDescent="0.2">
      <c r="A52" s="46" t="s">
        <v>174</v>
      </c>
      <c r="B52" s="47">
        <v>140000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7" x14ac:dyDescent="0.2">
      <c r="A53" s="46" t="s">
        <v>53</v>
      </c>
      <c r="B53" s="47">
        <v>140000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7" x14ac:dyDescent="0.2">
      <c r="A54" s="46" t="s">
        <v>60</v>
      </c>
      <c r="B54" s="47">
        <v>135000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7" x14ac:dyDescent="0.2">
      <c r="A55" s="46" t="s">
        <v>141</v>
      </c>
      <c r="B55" s="47">
        <v>130000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7" x14ac:dyDescent="0.2">
      <c r="A56" s="46" t="s">
        <v>96</v>
      </c>
      <c r="B56" s="47">
        <v>129150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7" x14ac:dyDescent="0.2">
      <c r="A57" s="46" t="s">
        <v>142</v>
      </c>
      <c r="B57" s="47">
        <v>120000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7" x14ac:dyDescent="0.2">
      <c r="A58" s="46" t="s">
        <v>58</v>
      </c>
      <c r="B58" s="47">
        <v>116390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7" x14ac:dyDescent="0.2">
      <c r="A59" s="46" t="s">
        <v>228</v>
      </c>
      <c r="B59" s="47">
        <v>115000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7" x14ac:dyDescent="0.2">
      <c r="A60" s="46" t="s">
        <v>108</v>
      </c>
      <c r="B60" s="47">
        <v>115000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7" x14ac:dyDescent="0.2">
      <c r="A61" s="46" t="s">
        <v>143</v>
      </c>
      <c r="B61" s="47">
        <v>113300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7" x14ac:dyDescent="0.2">
      <c r="A62" s="46" t="s">
        <v>227</v>
      </c>
      <c r="B62" s="47">
        <v>110000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7" x14ac:dyDescent="0.2">
      <c r="A63" s="46" t="s">
        <v>109</v>
      </c>
      <c r="B63" s="47">
        <v>107040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7" x14ac:dyDescent="0.2">
      <c r="A64" s="46" t="s">
        <v>130</v>
      </c>
      <c r="B64" s="47">
        <v>103000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7" x14ac:dyDescent="0.2">
      <c r="A65" s="46" t="s">
        <v>155</v>
      </c>
      <c r="B65" s="47">
        <v>98000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7" x14ac:dyDescent="0.2">
      <c r="A66" s="46" t="s">
        <v>50</v>
      </c>
      <c r="B66" s="47">
        <v>90958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7" x14ac:dyDescent="0.2">
      <c r="A67" s="46" t="s">
        <v>84</v>
      </c>
      <c r="B67" s="47">
        <v>90000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7" x14ac:dyDescent="0.2">
      <c r="A68" s="46" t="s">
        <v>213</v>
      </c>
      <c r="B68" s="47">
        <v>76297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7" x14ac:dyDescent="0.2">
      <c r="A69" s="46" t="s">
        <v>219</v>
      </c>
      <c r="B69" s="47">
        <v>76297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7" x14ac:dyDescent="0.2">
      <c r="A70" s="46" t="s">
        <v>206</v>
      </c>
      <c r="B70" s="47">
        <v>76297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7" x14ac:dyDescent="0.2">
      <c r="A71" s="46" t="s">
        <v>179</v>
      </c>
      <c r="B71" s="47">
        <v>75000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7" x14ac:dyDescent="0.2">
      <c r="A72" s="46" t="s">
        <v>167</v>
      </c>
      <c r="B72" s="47">
        <v>73542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7" x14ac:dyDescent="0.2">
      <c r="A73" s="46" t="s">
        <v>221</v>
      </c>
      <c r="B73" s="47">
        <v>73211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7" x14ac:dyDescent="0.2">
      <c r="A74" s="46" t="s">
        <v>209</v>
      </c>
      <c r="B74" s="47">
        <v>73211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7" x14ac:dyDescent="0.2">
      <c r="A75" s="46" t="s">
        <v>159</v>
      </c>
      <c r="B75" s="47">
        <v>72141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7" x14ac:dyDescent="0.2">
      <c r="A76" s="46" t="s">
        <v>269</v>
      </c>
      <c r="B76" s="47">
        <v>72141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7" x14ac:dyDescent="0.2">
      <c r="A77" s="46" t="s">
        <v>148</v>
      </c>
      <c r="B77" s="47">
        <v>72141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7" x14ac:dyDescent="0.2">
      <c r="A78" s="46" t="s">
        <v>181</v>
      </c>
      <c r="B78" s="47">
        <v>72141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7" x14ac:dyDescent="0.2">
      <c r="A79" s="46" t="s">
        <v>270</v>
      </c>
      <c r="B79" s="47">
        <v>72141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7" x14ac:dyDescent="0.2">
      <c r="A80" s="46" t="s">
        <v>146</v>
      </c>
      <c r="B80" s="47">
        <v>72141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7" x14ac:dyDescent="0.2">
      <c r="A81" s="46" t="s">
        <v>200</v>
      </c>
      <c r="B81" s="47">
        <v>72141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7" x14ac:dyDescent="0.2">
      <c r="A82" s="46" t="s">
        <v>156</v>
      </c>
      <c r="B82" s="47">
        <v>72141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7" x14ac:dyDescent="0.2">
      <c r="A83" s="46" t="s">
        <v>147</v>
      </c>
      <c r="B83" s="47">
        <v>72141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7" x14ac:dyDescent="0.2">
      <c r="A84" s="46" t="s">
        <v>196</v>
      </c>
      <c r="B84" s="47">
        <v>72141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7" x14ac:dyDescent="0.2">
      <c r="A85" s="46" t="s">
        <v>273</v>
      </c>
      <c r="B85" s="47">
        <v>72141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7" x14ac:dyDescent="0.2">
      <c r="A86" s="46" t="s">
        <v>122</v>
      </c>
      <c r="B86" s="47">
        <v>72141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7" x14ac:dyDescent="0.2">
      <c r="A87" s="46" t="s">
        <v>49</v>
      </c>
      <c r="B87" s="47">
        <v>72141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7" x14ac:dyDescent="0.2">
      <c r="A88" s="46" t="s">
        <v>158</v>
      </c>
      <c r="B88" s="47">
        <v>72141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7" x14ac:dyDescent="0.2">
      <c r="A89" s="46" t="s">
        <v>166</v>
      </c>
      <c r="B89" s="47">
        <v>72141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7" x14ac:dyDescent="0.2">
      <c r="A90" s="46" t="s">
        <v>144</v>
      </c>
      <c r="B90" s="47">
        <v>72141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7" x14ac:dyDescent="0.2">
      <c r="A91" s="46" t="s">
        <v>283</v>
      </c>
      <c r="B91" s="47">
        <v>72141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7" x14ac:dyDescent="0.2">
      <c r="A92" s="46" t="s">
        <v>173</v>
      </c>
      <c r="B92" s="47">
        <v>72141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7" x14ac:dyDescent="0.2">
      <c r="A93" s="46" t="s">
        <v>118</v>
      </c>
      <c r="B93" s="47">
        <v>72141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7" x14ac:dyDescent="0.2">
      <c r="A94" s="46" t="s">
        <v>226</v>
      </c>
      <c r="B94" s="47">
        <v>72141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7" x14ac:dyDescent="0.2">
      <c r="A95" s="46" t="s">
        <v>172</v>
      </c>
      <c r="B95" s="47">
        <v>72141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7" x14ac:dyDescent="0.2">
      <c r="A96" s="46" t="s">
        <v>99</v>
      </c>
      <c r="B96" s="47">
        <v>72141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7" x14ac:dyDescent="0.2">
      <c r="A97" s="46" t="s">
        <v>195</v>
      </c>
      <c r="B97" s="47">
        <v>72141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7" x14ac:dyDescent="0.2">
      <c r="A98" s="46" t="s">
        <v>208</v>
      </c>
      <c r="B98" s="47">
        <v>72141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7" x14ac:dyDescent="0.2">
      <c r="A99" s="46" t="s">
        <v>255</v>
      </c>
      <c r="B99" s="47">
        <v>71441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7" x14ac:dyDescent="0.2">
      <c r="A100" s="46" t="s">
        <v>253</v>
      </c>
      <c r="B100" s="47">
        <v>71441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7" x14ac:dyDescent="0.2">
      <c r="A101" s="46" t="s">
        <v>236</v>
      </c>
      <c r="B101" s="47">
        <v>71441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7" x14ac:dyDescent="0.2">
      <c r="A102" s="46" t="s">
        <v>185</v>
      </c>
      <c r="B102" s="47">
        <v>71427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7" x14ac:dyDescent="0.2">
      <c r="A103" s="46" t="s">
        <v>216</v>
      </c>
      <c r="B103" s="47">
        <v>70127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7" x14ac:dyDescent="0.2">
      <c r="A104" s="46" t="s">
        <v>286</v>
      </c>
      <c r="B104" s="47">
        <v>69224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7" x14ac:dyDescent="0.2">
      <c r="A105" s="46" t="s">
        <v>292</v>
      </c>
      <c r="B105" s="47">
        <v>69224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7" x14ac:dyDescent="0.2">
      <c r="A106" s="46" t="s">
        <v>56</v>
      </c>
      <c r="B106" s="47">
        <v>69000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7" x14ac:dyDescent="0.2">
      <c r="A107" s="46" t="s">
        <v>258</v>
      </c>
      <c r="B107" s="47">
        <v>68552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7" x14ac:dyDescent="0.2">
      <c r="A108" s="46" t="s">
        <v>263</v>
      </c>
      <c r="B108" s="47">
        <v>68552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7" x14ac:dyDescent="0.2">
      <c r="A109" s="46" t="s">
        <v>277</v>
      </c>
      <c r="B109" s="47">
        <v>68260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7" x14ac:dyDescent="0.2">
      <c r="A110" s="46" t="s">
        <v>276</v>
      </c>
      <c r="B110" s="47">
        <v>66306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7" x14ac:dyDescent="0.2">
      <c r="A111" s="46" t="s">
        <v>294</v>
      </c>
      <c r="B111" s="47">
        <v>66306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7" x14ac:dyDescent="0.2">
      <c r="A112" s="46" t="s">
        <v>298</v>
      </c>
      <c r="B112" s="47">
        <v>66306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7" x14ac:dyDescent="0.2">
      <c r="A113" s="46" t="s">
        <v>301</v>
      </c>
      <c r="B113" s="47">
        <v>66306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7" x14ac:dyDescent="0.2">
      <c r="A114" s="46" t="s">
        <v>278</v>
      </c>
      <c r="B114" s="47">
        <v>63389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7" x14ac:dyDescent="0.2">
      <c r="A115" s="46" t="s">
        <v>282</v>
      </c>
      <c r="B115" s="47">
        <v>63389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7" x14ac:dyDescent="0.2">
      <c r="A116" s="46" t="s">
        <v>284</v>
      </c>
      <c r="B116" s="47">
        <v>63389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7" x14ac:dyDescent="0.2">
      <c r="A117" s="46" t="s">
        <v>285</v>
      </c>
      <c r="B117" s="47">
        <v>63389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7" x14ac:dyDescent="0.2">
      <c r="A118" s="46" t="s">
        <v>299</v>
      </c>
      <c r="B118" s="47">
        <v>63389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7" x14ac:dyDescent="0.2">
      <c r="A119" s="46" t="s">
        <v>304</v>
      </c>
      <c r="B119" s="47">
        <v>63389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7" x14ac:dyDescent="0.2">
      <c r="A120" s="46" t="s">
        <v>234</v>
      </c>
      <c r="B120" s="47">
        <v>62774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7" x14ac:dyDescent="0.2">
      <c r="A121" s="46" t="s">
        <v>240</v>
      </c>
      <c r="B121" s="47">
        <v>62774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7" x14ac:dyDescent="0.2">
      <c r="A122" s="46" t="s">
        <v>260</v>
      </c>
      <c r="B122" s="47">
        <v>62774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7" x14ac:dyDescent="0.2">
      <c r="A123" s="46" t="s">
        <v>212</v>
      </c>
      <c r="B123" s="47">
        <v>61049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7" x14ac:dyDescent="0.2">
      <c r="A124" s="46" t="s">
        <v>171</v>
      </c>
      <c r="B124" s="47">
        <v>60471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7" x14ac:dyDescent="0.2">
      <c r="A125" s="46" t="s">
        <v>274</v>
      </c>
      <c r="B125" s="47">
        <v>60471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7" x14ac:dyDescent="0.2">
      <c r="A126" s="46" t="s">
        <v>275</v>
      </c>
      <c r="B126" s="47">
        <v>60471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7" x14ac:dyDescent="0.2">
      <c r="A127" s="46" t="s">
        <v>182</v>
      </c>
      <c r="B127" s="47">
        <v>60471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7" x14ac:dyDescent="0.2">
      <c r="A128" s="46" t="s">
        <v>256</v>
      </c>
      <c r="B128" s="47">
        <v>60471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7" x14ac:dyDescent="0.2">
      <c r="A129" s="46" t="s">
        <v>296</v>
      </c>
      <c r="B129" s="47">
        <v>60471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7" x14ac:dyDescent="0.2">
      <c r="A130" s="46" t="s">
        <v>297</v>
      </c>
      <c r="B130" s="47">
        <v>60471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7" x14ac:dyDescent="0.2">
      <c r="A131" s="46" t="s">
        <v>302</v>
      </c>
      <c r="B131" s="47">
        <v>60471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7" x14ac:dyDescent="0.2">
      <c r="A132" s="46" t="s">
        <v>306</v>
      </c>
      <c r="B132" s="47">
        <v>60471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7" x14ac:dyDescent="0.2">
      <c r="A133" s="11" t="s">
        <v>248</v>
      </c>
      <c r="B133" s="44">
        <v>58076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7" x14ac:dyDescent="0.2">
      <c r="A134" s="11" t="s">
        <v>290</v>
      </c>
      <c r="B134" s="44">
        <v>55681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7" x14ac:dyDescent="0.2">
      <c r="A135" s="11" t="s">
        <v>233</v>
      </c>
      <c r="B135" s="44">
        <v>52856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7" x14ac:dyDescent="0.2">
      <c r="A136" s="11" t="s">
        <v>225</v>
      </c>
      <c r="B136" s="44">
        <v>44605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7" x14ac:dyDescent="0.2">
      <c r="A137" s="11" t="s">
        <v>280</v>
      </c>
      <c r="B137" s="44">
        <v>42359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7" x14ac:dyDescent="0.2">
      <c r="A138" s="11" t="s">
        <v>186</v>
      </c>
      <c r="B138" s="44">
        <v>40713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7" x14ac:dyDescent="0.2">
      <c r="A139" s="11" t="s">
        <v>287</v>
      </c>
      <c r="B139" s="44">
        <v>37420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7" x14ac:dyDescent="0.2">
      <c r="A140" s="11" t="s">
        <v>293</v>
      </c>
      <c r="B140" s="44">
        <v>37121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7" x14ac:dyDescent="0.2">
      <c r="A141" s="11" t="s">
        <v>183</v>
      </c>
      <c r="B141" s="44">
        <v>36428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7" x14ac:dyDescent="0.2">
      <c r="A142" s="11" t="s">
        <v>169</v>
      </c>
      <c r="B142" s="44">
        <v>36428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7" x14ac:dyDescent="0.2">
      <c r="A143" s="11" t="s">
        <v>288</v>
      </c>
      <c r="B143" s="44">
        <v>31133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7" x14ac:dyDescent="0.2">
      <c r="A144" s="11" t="s">
        <v>136</v>
      </c>
      <c r="B144" s="44">
        <v>24999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7" x14ac:dyDescent="0.2">
      <c r="A145" s="11" t="s">
        <v>215</v>
      </c>
      <c r="B145" s="44">
        <v>24996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7" x14ac:dyDescent="0.2">
      <c r="A146" s="11" t="s">
        <v>289</v>
      </c>
      <c r="B146" s="44">
        <v>23350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7" x14ac:dyDescent="0.2">
      <c r="A147" s="11" t="s">
        <v>214</v>
      </c>
      <c r="B147" s="44">
        <v>22153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7" x14ac:dyDescent="0.2">
      <c r="A148" s="11" t="s">
        <v>303</v>
      </c>
      <c r="B148" s="44">
        <v>20955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7" x14ac:dyDescent="0.2">
      <c r="A149" s="11" t="s">
        <v>238</v>
      </c>
      <c r="B149" s="44">
        <v>19907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7" x14ac:dyDescent="0.2">
      <c r="A150" s="11" t="s">
        <v>160</v>
      </c>
      <c r="B150" s="44">
        <v>19285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7" x14ac:dyDescent="0.2">
      <c r="A151" s="11" t="s">
        <v>291</v>
      </c>
      <c r="B151" s="44">
        <v>17667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7" x14ac:dyDescent="0.2">
      <c r="A152" s="11" t="s">
        <v>162</v>
      </c>
      <c r="B152" s="44">
        <v>16607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7" x14ac:dyDescent="0.2">
      <c r="A153" s="11" t="s">
        <v>81</v>
      </c>
      <c r="B153" s="44">
        <v>12856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7" x14ac:dyDescent="0.2">
      <c r="A154" s="11" t="s">
        <v>222</v>
      </c>
      <c r="B154" s="44">
        <v>12856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7" x14ac:dyDescent="0.2">
      <c r="A155" s="11" t="s">
        <v>193</v>
      </c>
      <c r="B155" s="44">
        <v>11250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7" x14ac:dyDescent="0.2">
      <c r="A156" s="11" t="s">
        <v>305</v>
      </c>
      <c r="B156" s="44">
        <v>9878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7" x14ac:dyDescent="0.2">
      <c r="A157" s="11" t="s">
        <v>271</v>
      </c>
      <c r="B157" s="44">
        <v>9429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7" x14ac:dyDescent="0.2">
      <c r="A158" s="11" t="s">
        <v>309</v>
      </c>
      <c r="B158" s="44">
        <v>8532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7" x14ac:dyDescent="0.2">
      <c r="A159" s="11" t="s">
        <v>295</v>
      </c>
      <c r="B159" s="44">
        <v>8083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7" x14ac:dyDescent="0.2">
      <c r="A160" s="11" t="s">
        <v>265</v>
      </c>
      <c r="B160" s="44">
        <v>7184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7" x14ac:dyDescent="0.2">
      <c r="A161" s="11" t="s">
        <v>251</v>
      </c>
      <c r="B161" s="44">
        <v>4939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7" x14ac:dyDescent="0.2">
      <c r="A162" s="11" t="s">
        <v>307</v>
      </c>
      <c r="B162" s="44">
        <v>4490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7" x14ac:dyDescent="0.2">
      <c r="A163" s="11" t="s">
        <v>262</v>
      </c>
      <c r="B163" s="44">
        <v>4041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7" x14ac:dyDescent="0.2">
      <c r="A164" s="11" t="s">
        <v>300</v>
      </c>
      <c r="B164" s="44">
        <v>4041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7" x14ac:dyDescent="0.2">
      <c r="A165" s="11" t="s">
        <v>279</v>
      </c>
      <c r="B165" s="44">
        <v>3592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7" x14ac:dyDescent="0.2">
      <c r="A166" s="11" t="s">
        <v>281</v>
      </c>
      <c r="B166" s="44">
        <v>3592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7" x14ac:dyDescent="0.2">
      <c r="A167" s="11" t="s">
        <v>261</v>
      </c>
      <c r="B167" s="44">
        <v>3214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7" x14ac:dyDescent="0.2">
      <c r="A168" s="11" t="s">
        <v>235</v>
      </c>
      <c r="B168" s="44">
        <v>2694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7" x14ac:dyDescent="0.2">
      <c r="A169" s="11" t="s">
        <v>308</v>
      </c>
      <c r="B169" s="44">
        <v>2245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7" x14ac:dyDescent="0.2"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7" x14ac:dyDescent="0.2"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7" x14ac:dyDescent="0.2"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7" x14ac:dyDescent="0.2"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7" x14ac:dyDescent="0.2"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7" x14ac:dyDescent="0.2"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7" x14ac:dyDescent="0.2"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4:27" ht="17" x14ac:dyDescent="0.2"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4:27" ht="17" x14ac:dyDescent="0.2"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4:27" ht="17" x14ac:dyDescent="0.2"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4:27" ht="17" x14ac:dyDescent="0.2"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4:27" ht="17" x14ac:dyDescent="0.2"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4:27" ht="17" x14ac:dyDescent="0.2"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4:27" ht="17" x14ac:dyDescent="0.2"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4:27" ht="17" x14ac:dyDescent="0.2"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4:27" ht="17" x14ac:dyDescent="0.2"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4:27" ht="17" x14ac:dyDescent="0.2"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4:27" ht="17" x14ac:dyDescent="0.2"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4:27" ht="17" x14ac:dyDescent="0.2"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4:27" ht="17" x14ac:dyDescent="0.2"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4:27" ht="17" x14ac:dyDescent="0.2"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4:27" ht="17" x14ac:dyDescent="0.2"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4:27" ht="17" x14ac:dyDescent="0.2"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4:27" ht="17" x14ac:dyDescent="0.2"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4:27" ht="17" x14ac:dyDescent="0.2"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4:27" ht="17" x14ac:dyDescent="0.2"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4:27" ht="17" x14ac:dyDescent="0.2"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4:27" ht="17" x14ac:dyDescent="0.2"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4:27" ht="17" x14ac:dyDescent="0.2"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4:27" ht="17" x14ac:dyDescent="0.2"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4:27" ht="17" x14ac:dyDescent="0.2"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4:27" ht="17" x14ac:dyDescent="0.2"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4:27" ht="17" x14ac:dyDescent="0.2"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4:27" ht="17" x14ac:dyDescent="0.2"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</sheetData>
  <sortState xmlns:xlrd2="http://schemas.microsoft.com/office/spreadsheetml/2017/richdata2" ref="A2:B203">
    <sortCondition descending="1" ref="B1:B20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B837-66CB-A644-A652-B7B8DEEB785B}">
  <dimension ref="A1:D145"/>
  <sheetViews>
    <sheetView topLeftCell="A126" zoomScale="114" workbookViewId="0">
      <selection activeCell="D72" sqref="D16:D72"/>
    </sheetView>
  </sheetViews>
  <sheetFormatPr baseColWidth="10" defaultRowHeight="16" x14ac:dyDescent="0.2"/>
  <cols>
    <col min="1" max="1" width="16.33203125" customWidth="1"/>
    <col min="2" max="2" width="46.33203125" customWidth="1"/>
    <col min="3" max="3" width="25.6640625" style="10" customWidth="1"/>
    <col min="4" max="4" width="65.6640625" customWidth="1"/>
  </cols>
  <sheetData>
    <row r="1" spans="1:4" ht="34" x14ac:dyDescent="0.2">
      <c r="A1" s="7" t="s">
        <v>204</v>
      </c>
      <c r="B1" s="7" t="s">
        <v>310</v>
      </c>
      <c r="C1" s="50" t="s">
        <v>205</v>
      </c>
      <c r="D1" s="8" t="s">
        <v>312</v>
      </c>
    </row>
    <row r="2" spans="1:4" x14ac:dyDescent="0.2">
      <c r="A2" s="37" t="s">
        <v>383</v>
      </c>
      <c r="B2" s="37" t="s">
        <v>116</v>
      </c>
      <c r="C2" s="47">
        <v>242154</v>
      </c>
      <c r="D2" s="12"/>
    </row>
    <row r="3" spans="1:4" x14ac:dyDescent="0.2">
      <c r="A3" s="37" t="s">
        <v>378</v>
      </c>
      <c r="B3" s="37" t="s">
        <v>159</v>
      </c>
      <c r="C3" s="47">
        <v>234936</v>
      </c>
      <c r="D3" s="12"/>
    </row>
    <row r="4" spans="1:4" x14ac:dyDescent="0.2">
      <c r="A4" s="37" t="s">
        <v>380</v>
      </c>
      <c r="B4" s="37" t="s">
        <v>61</v>
      </c>
      <c r="C4" s="47">
        <v>234936</v>
      </c>
      <c r="D4" s="12"/>
    </row>
    <row r="5" spans="1:4" x14ac:dyDescent="0.2">
      <c r="A5" s="37" t="s">
        <v>386</v>
      </c>
      <c r="B5" s="37" t="s">
        <v>55</v>
      </c>
      <c r="C5" s="47">
        <v>234936</v>
      </c>
      <c r="D5" s="12"/>
    </row>
    <row r="6" spans="1:4" x14ac:dyDescent="0.2">
      <c r="A6" s="37" t="s">
        <v>387</v>
      </c>
      <c r="B6" s="37" t="s">
        <v>48</v>
      </c>
      <c r="C6" s="47">
        <v>234350</v>
      </c>
      <c r="D6" s="12"/>
    </row>
    <row r="7" spans="1:4" x14ac:dyDescent="0.2">
      <c r="A7" s="37" t="s">
        <v>380</v>
      </c>
      <c r="B7" s="37" t="s">
        <v>51</v>
      </c>
      <c r="C7" s="47">
        <v>234350</v>
      </c>
      <c r="D7" s="12"/>
    </row>
    <row r="8" spans="1:4" x14ac:dyDescent="0.2">
      <c r="A8" s="37" t="s">
        <v>389</v>
      </c>
      <c r="B8" s="37" t="s">
        <v>64</v>
      </c>
      <c r="C8" s="47">
        <v>234350</v>
      </c>
      <c r="D8" s="12"/>
    </row>
    <row r="9" spans="1:4" x14ac:dyDescent="0.2">
      <c r="A9" s="37" t="s">
        <v>378</v>
      </c>
      <c r="B9" s="37" t="s">
        <v>75</v>
      </c>
      <c r="C9" s="47">
        <v>227900</v>
      </c>
      <c r="D9" s="12"/>
    </row>
    <row r="10" spans="1:4" x14ac:dyDescent="0.2">
      <c r="A10" s="37" t="s">
        <v>381</v>
      </c>
      <c r="B10" s="37" t="s">
        <v>88</v>
      </c>
      <c r="C10" s="47">
        <v>216100</v>
      </c>
      <c r="D10" s="12"/>
    </row>
    <row r="11" spans="1:4" x14ac:dyDescent="0.2">
      <c r="A11" s="37" t="s">
        <v>387</v>
      </c>
      <c r="B11" s="37" t="s">
        <v>82</v>
      </c>
      <c r="C11" s="47">
        <v>212000</v>
      </c>
      <c r="D11" s="12"/>
    </row>
    <row r="12" spans="1:4" x14ac:dyDescent="0.2">
      <c r="A12" s="37" t="s">
        <v>382</v>
      </c>
      <c r="B12" s="37" t="s">
        <v>128</v>
      </c>
      <c r="C12" s="47">
        <v>211150</v>
      </c>
      <c r="D12" s="12"/>
    </row>
    <row r="13" spans="1:4" x14ac:dyDescent="0.2">
      <c r="A13" s="37" t="s">
        <v>387</v>
      </c>
      <c r="B13" s="37" t="s">
        <v>142</v>
      </c>
      <c r="C13" s="47">
        <v>208000</v>
      </c>
      <c r="D13" s="12"/>
    </row>
    <row r="14" spans="1:4" x14ac:dyDescent="0.2">
      <c r="A14" s="37" t="s">
        <v>383</v>
      </c>
      <c r="B14" s="37" t="s">
        <v>138</v>
      </c>
      <c r="C14" s="47">
        <v>206000</v>
      </c>
      <c r="D14" s="12"/>
    </row>
    <row r="15" spans="1:4" x14ac:dyDescent="0.2">
      <c r="A15" s="37" t="s">
        <v>385</v>
      </c>
      <c r="B15" s="37" t="s">
        <v>127</v>
      </c>
      <c r="C15" s="47">
        <v>205000</v>
      </c>
      <c r="D15" s="12"/>
    </row>
    <row r="16" spans="1:4" x14ac:dyDescent="0.2">
      <c r="A16" s="37" t="s">
        <v>377</v>
      </c>
      <c r="B16" s="37" t="s">
        <v>140</v>
      </c>
      <c r="C16" s="47">
        <v>202154</v>
      </c>
      <c r="D16" s="12"/>
    </row>
    <row r="17" spans="1:4" x14ac:dyDescent="0.2">
      <c r="A17" s="37" t="s">
        <v>379</v>
      </c>
      <c r="B17" s="37" t="s">
        <v>158</v>
      </c>
      <c r="C17" s="47">
        <v>202154</v>
      </c>
      <c r="D17" s="12"/>
    </row>
    <row r="18" spans="1:4" x14ac:dyDescent="0.2">
      <c r="A18" s="37" t="s">
        <v>385</v>
      </c>
      <c r="B18" s="37" t="s">
        <v>181</v>
      </c>
      <c r="C18" s="47">
        <v>202000</v>
      </c>
      <c r="D18" s="12"/>
    </row>
    <row r="19" spans="1:4" x14ac:dyDescent="0.2">
      <c r="A19" s="37" t="s">
        <v>379</v>
      </c>
      <c r="B19" s="37" t="s">
        <v>77</v>
      </c>
      <c r="C19" s="47">
        <v>201984</v>
      </c>
      <c r="D19" s="12"/>
    </row>
    <row r="20" spans="1:4" x14ac:dyDescent="0.2">
      <c r="A20" s="37" t="s">
        <v>379</v>
      </c>
      <c r="B20" s="37" t="s">
        <v>129</v>
      </c>
      <c r="C20" s="47">
        <v>201984</v>
      </c>
      <c r="D20" s="12"/>
    </row>
    <row r="21" spans="1:4" x14ac:dyDescent="0.2">
      <c r="A21" s="37" t="s">
        <v>382</v>
      </c>
      <c r="B21" s="37" t="s">
        <v>117</v>
      </c>
      <c r="C21" s="47">
        <v>201984</v>
      </c>
      <c r="D21" s="12"/>
    </row>
    <row r="22" spans="1:4" x14ac:dyDescent="0.2">
      <c r="A22" s="37" t="s">
        <v>377</v>
      </c>
      <c r="B22" s="37" t="s">
        <v>132</v>
      </c>
      <c r="C22" s="47">
        <v>200000</v>
      </c>
      <c r="D22" s="12"/>
    </row>
    <row r="23" spans="1:4" x14ac:dyDescent="0.2">
      <c r="A23" s="37" t="s">
        <v>384</v>
      </c>
      <c r="B23" s="37" t="s">
        <v>79</v>
      </c>
      <c r="C23" s="47">
        <v>199530</v>
      </c>
      <c r="D23" s="12"/>
    </row>
    <row r="24" spans="1:4" x14ac:dyDescent="0.2">
      <c r="A24" s="37" t="s">
        <v>377</v>
      </c>
      <c r="B24" s="37" t="s">
        <v>71</v>
      </c>
      <c r="C24" s="47">
        <v>196267</v>
      </c>
      <c r="D24" s="12"/>
    </row>
    <row r="25" spans="1:4" x14ac:dyDescent="0.2">
      <c r="A25" s="37" t="s">
        <v>381</v>
      </c>
      <c r="B25" s="37" t="s">
        <v>131</v>
      </c>
      <c r="C25" s="47">
        <v>194600</v>
      </c>
      <c r="D25" s="12"/>
    </row>
    <row r="26" spans="1:4" x14ac:dyDescent="0.2">
      <c r="A26" s="37" t="s">
        <v>382</v>
      </c>
      <c r="B26" s="37" t="s">
        <v>63</v>
      </c>
      <c r="C26" s="47">
        <v>194000</v>
      </c>
      <c r="D26" s="12"/>
    </row>
    <row r="27" spans="1:4" x14ac:dyDescent="0.2">
      <c r="A27" s="37" t="s">
        <v>378</v>
      </c>
      <c r="B27" s="37" t="s">
        <v>146</v>
      </c>
      <c r="C27" s="47">
        <v>190000</v>
      </c>
      <c r="D27" s="12"/>
    </row>
    <row r="28" spans="1:4" x14ac:dyDescent="0.2">
      <c r="A28" s="37" t="s">
        <v>384</v>
      </c>
      <c r="B28" s="37" t="s">
        <v>272</v>
      </c>
      <c r="C28" s="47">
        <v>190000</v>
      </c>
      <c r="D28" s="12"/>
    </row>
    <row r="29" spans="1:4" x14ac:dyDescent="0.2">
      <c r="A29" s="37" t="s">
        <v>384</v>
      </c>
      <c r="B29" s="37" t="s">
        <v>62</v>
      </c>
      <c r="C29" s="47">
        <v>190000</v>
      </c>
      <c r="D29" s="12"/>
    </row>
    <row r="30" spans="1:4" x14ac:dyDescent="0.2">
      <c r="A30" s="37" t="s">
        <v>389</v>
      </c>
      <c r="B30" s="37" t="s">
        <v>143</v>
      </c>
      <c r="C30" s="47">
        <v>190000</v>
      </c>
      <c r="D30" s="12"/>
    </row>
    <row r="31" spans="1:4" x14ac:dyDescent="0.2">
      <c r="A31" s="37" t="s">
        <v>389</v>
      </c>
      <c r="B31" s="37" t="s">
        <v>69</v>
      </c>
      <c r="C31" s="47">
        <v>190000</v>
      </c>
      <c r="D31" s="12"/>
    </row>
    <row r="32" spans="1:4" x14ac:dyDescent="0.2">
      <c r="A32" s="37" t="s">
        <v>382</v>
      </c>
      <c r="B32" s="37" t="s">
        <v>124</v>
      </c>
      <c r="C32" s="47">
        <v>180000</v>
      </c>
      <c r="D32" s="12"/>
    </row>
    <row r="33" spans="1:4" x14ac:dyDescent="0.2">
      <c r="A33" s="37" t="s">
        <v>389</v>
      </c>
      <c r="B33" s="37" t="s">
        <v>175</v>
      </c>
      <c r="C33" s="47">
        <v>175100</v>
      </c>
      <c r="D33" s="12"/>
    </row>
    <row r="34" spans="1:4" x14ac:dyDescent="0.2">
      <c r="A34" s="37" t="s">
        <v>389</v>
      </c>
      <c r="B34" s="37" t="s">
        <v>154</v>
      </c>
      <c r="C34" s="47">
        <v>175000</v>
      </c>
      <c r="D34" s="12"/>
    </row>
    <row r="35" spans="1:4" x14ac:dyDescent="0.2">
      <c r="A35" s="37" t="s">
        <v>384</v>
      </c>
      <c r="B35" s="37" t="s">
        <v>73</v>
      </c>
      <c r="C35" s="47">
        <v>169000</v>
      </c>
      <c r="D35" s="12"/>
    </row>
    <row r="36" spans="1:4" x14ac:dyDescent="0.2">
      <c r="A36" s="37" t="s">
        <v>380</v>
      </c>
      <c r="B36" s="37" t="s">
        <v>72</v>
      </c>
      <c r="C36" s="47">
        <v>165100</v>
      </c>
      <c r="D36" s="12"/>
    </row>
    <row r="37" spans="1:4" x14ac:dyDescent="0.2">
      <c r="A37" s="37" t="s">
        <v>377</v>
      </c>
      <c r="B37" s="37" t="s">
        <v>148</v>
      </c>
      <c r="C37" s="47">
        <v>165000</v>
      </c>
      <c r="D37" s="12"/>
    </row>
    <row r="38" spans="1:4" x14ac:dyDescent="0.2">
      <c r="A38" s="37" t="s">
        <v>387</v>
      </c>
      <c r="B38" s="37" t="s">
        <v>65</v>
      </c>
      <c r="C38" s="47">
        <v>162477</v>
      </c>
      <c r="D38" s="12"/>
    </row>
    <row r="39" spans="1:4" x14ac:dyDescent="0.2">
      <c r="A39" s="37" t="s">
        <v>385</v>
      </c>
      <c r="B39" s="37" t="s">
        <v>149</v>
      </c>
      <c r="C39" s="47">
        <v>160000</v>
      </c>
      <c r="D39" s="12"/>
    </row>
    <row r="40" spans="1:4" x14ac:dyDescent="0.2">
      <c r="A40" s="37" t="s">
        <v>385</v>
      </c>
      <c r="B40" s="37" t="s">
        <v>130</v>
      </c>
      <c r="C40" s="47">
        <v>160000</v>
      </c>
      <c r="D40" s="12"/>
    </row>
    <row r="41" spans="1:4" x14ac:dyDescent="0.2">
      <c r="A41" s="37" t="s">
        <v>382</v>
      </c>
      <c r="B41" s="37" t="s">
        <v>70</v>
      </c>
      <c r="C41" s="47">
        <v>160000</v>
      </c>
      <c r="D41" s="12"/>
    </row>
    <row r="42" spans="1:4" x14ac:dyDescent="0.2">
      <c r="A42" s="37" t="s">
        <v>386</v>
      </c>
      <c r="B42" s="37" t="s">
        <v>192</v>
      </c>
      <c r="C42" s="47">
        <v>160000</v>
      </c>
      <c r="D42" s="12"/>
    </row>
    <row r="43" spans="1:4" x14ac:dyDescent="0.2">
      <c r="A43" s="37" t="s">
        <v>386</v>
      </c>
      <c r="B43" s="37" t="s">
        <v>171</v>
      </c>
      <c r="C43" s="47">
        <v>159650</v>
      </c>
      <c r="D43" s="12"/>
    </row>
    <row r="44" spans="1:4" x14ac:dyDescent="0.2">
      <c r="A44" s="37" t="s">
        <v>379</v>
      </c>
      <c r="B44" s="37" t="s">
        <v>95</v>
      </c>
      <c r="C44" s="47">
        <v>155100</v>
      </c>
      <c r="D44" s="12"/>
    </row>
    <row r="45" spans="1:4" x14ac:dyDescent="0.2">
      <c r="A45" s="37" t="s">
        <v>381</v>
      </c>
      <c r="B45" s="37" t="s">
        <v>91</v>
      </c>
      <c r="C45" s="47">
        <v>155000</v>
      </c>
      <c r="D45" s="12"/>
    </row>
    <row r="46" spans="1:4" x14ac:dyDescent="0.2">
      <c r="A46" s="37" t="s">
        <v>378</v>
      </c>
      <c r="B46" s="37" t="s">
        <v>137</v>
      </c>
      <c r="C46" s="47">
        <v>154500</v>
      </c>
      <c r="D46" s="12"/>
    </row>
    <row r="47" spans="1:4" x14ac:dyDescent="0.2">
      <c r="A47" s="37" t="s">
        <v>380</v>
      </c>
      <c r="B47" s="37" t="s">
        <v>179</v>
      </c>
      <c r="C47" s="47">
        <v>150000</v>
      </c>
      <c r="D47" s="12"/>
    </row>
    <row r="48" spans="1:4" x14ac:dyDescent="0.2">
      <c r="A48" s="37" t="s">
        <v>380</v>
      </c>
      <c r="B48" s="37" t="s">
        <v>172</v>
      </c>
      <c r="C48" s="47">
        <v>150000</v>
      </c>
      <c r="D48" s="12"/>
    </row>
    <row r="49" spans="1:4" x14ac:dyDescent="0.2">
      <c r="A49" s="37" t="s">
        <v>377</v>
      </c>
      <c r="B49" s="37" t="s">
        <v>89</v>
      </c>
      <c r="C49" s="47">
        <v>149350</v>
      </c>
      <c r="D49" s="12"/>
    </row>
    <row r="50" spans="1:4" x14ac:dyDescent="0.2">
      <c r="A50" s="37" t="s">
        <v>381</v>
      </c>
      <c r="B50" s="37" t="s">
        <v>174</v>
      </c>
      <c r="C50" s="47">
        <v>145000</v>
      </c>
      <c r="D50" s="12"/>
    </row>
    <row r="51" spans="1:4" x14ac:dyDescent="0.2">
      <c r="A51" s="37" t="s">
        <v>386</v>
      </c>
      <c r="B51" s="37" t="s">
        <v>153</v>
      </c>
      <c r="C51" s="47">
        <v>142500</v>
      </c>
      <c r="D51" s="12"/>
    </row>
    <row r="52" spans="1:4" x14ac:dyDescent="0.2">
      <c r="A52" s="37" t="s">
        <v>386</v>
      </c>
      <c r="B52" s="37" t="s">
        <v>167</v>
      </c>
      <c r="C52" s="47">
        <v>142500</v>
      </c>
      <c r="D52" s="12"/>
    </row>
    <row r="53" spans="1:4" x14ac:dyDescent="0.2">
      <c r="A53" s="37" t="s">
        <v>380</v>
      </c>
      <c r="B53" s="37" t="s">
        <v>123</v>
      </c>
      <c r="C53" s="47">
        <v>137500</v>
      </c>
      <c r="D53" s="12"/>
    </row>
    <row r="54" spans="1:4" x14ac:dyDescent="0.2">
      <c r="A54" s="37" t="s">
        <v>387</v>
      </c>
      <c r="B54" s="37" t="s">
        <v>113</v>
      </c>
      <c r="C54" s="47">
        <v>136850</v>
      </c>
      <c r="D54" s="12"/>
    </row>
    <row r="55" spans="1:4" x14ac:dyDescent="0.2">
      <c r="A55" s="37" t="s">
        <v>381</v>
      </c>
      <c r="B55" s="37" t="s">
        <v>141</v>
      </c>
      <c r="C55" s="47">
        <v>135000</v>
      </c>
      <c r="D55" s="12"/>
    </row>
    <row r="56" spans="1:4" x14ac:dyDescent="0.2">
      <c r="A56" s="37" t="s">
        <v>385</v>
      </c>
      <c r="B56" s="37" t="s">
        <v>84</v>
      </c>
      <c r="C56" s="47">
        <v>135000</v>
      </c>
      <c r="D56" s="12"/>
    </row>
    <row r="57" spans="1:4" x14ac:dyDescent="0.2">
      <c r="A57" s="37" t="s">
        <v>383</v>
      </c>
      <c r="B57" s="37" t="s">
        <v>156</v>
      </c>
      <c r="C57" s="47">
        <v>135000</v>
      </c>
      <c r="D57" s="12"/>
    </row>
    <row r="58" spans="1:4" x14ac:dyDescent="0.2">
      <c r="A58" s="37" t="s">
        <v>379</v>
      </c>
      <c r="B58" s="37" t="s">
        <v>152</v>
      </c>
      <c r="C58" s="47">
        <v>135000</v>
      </c>
      <c r="D58" s="12"/>
    </row>
    <row r="59" spans="1:4" x14ac:dyDescent="0.2">
      <c r="A59" s="37" t="s">
        <v>384</v>
      </c>
      <c r="B59" s="37" t="s">
        <v>147</v>
      </c>
      <c r="C59" s="47">
        <v>130000</v>
      </c>
      <c r="D59" s="12"/>
    </row>
    <row r="60" spans="1:4" x14ac:dyDescent="0.2">
      <c r="A60" s="37" t="s">
        <v>387</v>
      </c>
      <c r="B60" s="37" t="s">
        <v>196</v>
      </c>
      <c r="C60" s="47">
        <v>120000</v>
      </c>
      <c r="D60" s="12"/>
    </row>
    <row r="61" spans="1:4" x14ac:dyDescent="0.2">
      <c r="A61" s="37" t="s">
        <v>379</v>
      </c>
      <c r="B61" s="37" t="s">
        <v>182</v>
      </c>
      <c r="C61" s="47">
        <v>120000</v>
      </c>
      <c r="D61" s="12"/>
    </row>
    <row r="62" spans="1:4" x14ac:dyDescent="0.2">
      <c r="A62" s="37" t="s">
        <v>377</v>
      </c>
      <c r="B62" s="37" t="s">
        <v>111</v>
      </c>
      <c r="C62" s="47">
        <v>110000</v>
      </c>
      <c r="D62" s="12"/>
    </row>
    <row r="63" spans="1:4" x14ac:dyDescent="0.2">
      <c r="A63" s="37" t="s">
        <v>382</v>
      </c>
      <c r="B63" s="37" t="s">
        <v>109</v>
      </c>
      <c r="C63" s="47">
        <v>109716</v>
      </c>
      <c r="D63" s="12"/>
    </row>
    <row r="64" spans="1:4" x14ac:dyDescent="0.2">
      <c r="A64" s="37" t="s">
        <v>385</v>
      </c>
      <c r="B64" s="37" t="s">
        <v>275</v>
      </c>
      <c r="C64" s="47">
        <v>100000</v>
      </c>
      <c r="D64" s="12"/>
    </row>
    <row r="65" spans="1:4" x14ac:dyDescent="0.2">
      <c r="A65" s="37" t="s">
        <v>385</v>
      </c>
      <c r="B65" s="37" t="s">
        <v>160</v>
      </c>
      <c r="C65" s="47">
        <v>100000</v>
      </c>
      <c r="D65" s="12"/>
    </row>
    <row r="66" spans="1:4" x14ac:dyDescent="0.2">
      <c r="A66" s="37" t="s">
        <v>377</v>
      </c>
      <c r="B66" s="37" t="s">
        <v>59</v>
      </c>
      <c r="C66" s="47">
        <v>100000</v>
      </c>
      <c r="D66" s="12"/>
    </row>
    <row r="67" spans="1:4" x14ac:dyDescent="0.2">
      <c r="A67" s="37" t="s">
        <v>386</v>
      </c>
      <c r="B67" s="37" t="s">
        <v>139</v>
      </c>
      <c r="C67" s="47">
        <v>100000</v>
      </c>
      <c r="D67" s="12"/>
    </row>
    <row r="68" spans="1:4" x14ac:dyDescent="0.2">
      <c r="A68" s="37" t="s">
        <v>389</v>
      </c>
      <c r="B68" s="37" t="s">
        <v>144</v>
      </c>
      <c r="C68" s="47">
        <v>95000</v>
      </c>
      <c r="D68" s="12"/>
    </row>
    <row r="69" spans="1:4" x14ac:dyDescent="0.2">
      <c r="A69" s="37" t="s">
        <v>379</v>
      </c>
      <c r="B69" s="37" t="s">
        <v>226</v>
      </c>
      <c r="C69" s="47">
        <v>91000</v>
      </c>
      <c r="D69" s="12"/>
    </row>
    <row r="70" spans="1:4" x14ac:dyDescent="0.2">
      <c r="A70" s="37" t="s">
        <v>384</v>
      </c>
      <c r="B70" s="37" t="s">
        <v>58</v>
      </c>
      <c r="C70" s="47">
        <v>90000</v>
      </c>
      <c r="D70" s="12"/>
    </row>
    <row r="71" spans="1:4" x14ac:dyDescent="0.2">
      <c r="A71" s="37" t="s">
        <v>379</v>
      </c>
      <c r="B71" s="37" t="s">
        <v>413</v>
      </c>
      <c r="C71" s="47">
        <v>90000</v>
      </c>
      <c r="D71" s="12"/>
    </row>
    <row r="72" spans="1:4" x14ac:dyDescent="0.2">
      <c r="A72" s="37" t="s">
        <v>378</v>
      </c>
      <c r="B72" s="37" t="s">
        <v>219</v>
      </c>
      <c r="C72" s="47">
        <v>86701</v>
      </c>
      <c r="D72" s="12"/>
    </row>
    <row r="73" spans="1:4" x14ac:dyDescent="0.2">
      <c r="A73" s="37" t="s">
        <v>382</v>
      </c>
      <c r="B73" s="37" t="s">
        <v>213</v>
      </c>
      <c r="C73" s="47">
        <v>86701</v>
      </c>
      <c r="D73" s="12"/>
    </row>
    <row r="74" spans="1:4" x14ac:dyDescent="0.2">
      <c r="A74" s="37" t="s">
        <v>385</v>
      </c>
      <c r="B74" s="37" t="s">
        <v>209</v>
      </c>
      <c r="C74" s="47">
        <v>83194</v>
      </c>
      <c r="D74" s="12"/>
    </row>
    <row r="75" spans="1:4" x14ac:dyDescent="0.2">
      <c r="A75" s="37" t="s">
        <v>387</v>
      </c>
      <c r="B75" s="37" t="s">
        <v>221</v>
      </c>
      <c r="C75" s="47">
        <v>83194</v>
      </c>
      <c r="D75" s="12"/>
    </row>
    <row r="76" spans="1:4" x14ac:dyDescent="0.2">
      <c r="A76" s="37" t="s">
        <v>377</v>
      </c>
      <c r="B76" s="37" t="s">
        <v>108</v>
      </c>
      <c r="C76" s="47">
        <v>81000</v>
      </c>
      <c r="D76" s="12"/>
    </row>
    <row r="77" spans="1:4" x14ac:dyDescent="0.2">
      <c r="A77" s="37" t="s">
        <v>378</v>
      </c>
      <c r="B77" s="37" t="s">
        <v>225</v>
      </c>
      <c r="C77" s="47">
        <v>80000</v>
      </c>
      <c r="D77" s="12"/>
    </row>
    <row r="78" spans="1:4" x14ac:dyDescent="0.2">
      <c r="A78" s="37" t="s">
        <v>383</v>
      </c>
      <c r="B78" s="37" t="s">
        <v>233</v>
      </c>
      <c r="C78" s="47">
        <v>80000</v>
      </c>
      <c r="D78" s="12"/>
    </row>
    <row r="79" spans="1:4" x14ac:dyDescent="0.2">
      <c r="A79" s="37" t="s">
        <v>382</v>
      </c>
      <c r="B79" s="37" t="s">
        <v>216</v>
      </c>
      <c r="C79" s="47">
        <v>79690</v>
      </c>
      <c r="D79" s="12"/>
    </row>
    <row r="80" spans="1:4" x14ac:dyDescent="0.2">
      <c r="A80" s="37" t="s">
        <v>381</v>
      </c>
      <c r="B80" s="37" t="s">
        <v>255</v>
      </c>
      <c r="C80" s="47">
        <v>78586</v>
      </c>
      <c r="D80" s="12"/>
    </row>
    <row r="81" spans="1:4" x14ac:dyDescent="0.2">
      <c r="A81" s="37" t="s">
        <v>378</v>
      </c>
      <c r="B81" s="37" t="s">
        <v>253</v>
      </c>
      <c r="C81" s="47">
        <v>78586</v>
      </c>
      <c r="D81" s="12"/>
    </row>
    <row r="82" spans="1:4" x14ac:dyDescent="0.2">
      <c r="A82" s="37" t="s">
        <v>384</v>
      </c>
      <c r="B82" s="37" t="s">
        <v>166</v>
      </c>
      <c r="C82" s="47">
        <v>78000</v>
      </c>
      <c r="D82" s="12"/>
    </row>
    <row r="83" spans="1:4" x14ac:dyDescent="0.2">
      <c r="A83" s="37" t="s">
        <v>380</v>
      </c>
      <c r="B83" s="37" t="s">
        <v>258</v>
      </c>
      <c r="C83" s="47">
        <v>75407</v>
      </c>
      <c r="D83" s="12"/>
    </row>
    <row r="84" spans="1:4" x14ac:dyDescent="0.2">
      <c r="A84" s="37" t="s">
        <v>389</v>
      </c>
      <c r="B84" s="37" t="s">
        <v>83</v>
      </c>
      <c r="C84" s="47">
        <v>75000</v>
      </c>
      <c r="D84" s="12"/>
    </row>
    <row r="85" spans="1:4" x14ac:dyDescent="0.2">
      <c r="A85" s="37" t="s">
        <v>381</v>
      </c>
      <c r="B85" s="37" t="s">
        <v>277</v>
      </c>
      <c r="C85" s="47">
        <v>74305</v>
      </c>
      <c r="D85" s="12"/>
    </row>
    <row r="86" spans="1:4" x14ac:dyDescent="0.2">
      <c r="A86" s="37" t="s">
        <v>378</v>
      </c>
      <c r="B86" s="37" t="s">
        <v>314</v>
      </c>
      <c r="C86" s="47">
        <v>74305</v>
      </c>
      <c r="D86" s="12"/>
    </row>
    <row r="87" spans="1:4" x14ac:dyDescent="0.2">
      <c r="A87" s="37" t="s">
        <v>383</v>
      </c>
      <c r="B87" s="37" t="s">
        <v>338</v>
      </c>
      <c r="C87" s="47">
        <v>74305</v>
      </c>
      <c r="D87" s="12"/>
    </row>
    <row r="88" spans="1:4" x14ac:dyDescent="0.2">
      <c r="A88" s="37" t="s">
        <v>383</v>
      </c>
      <c r="B88" s="37" t="s">
        <v>267</v>
      </c>
      <c r="C88" s="47">
        <v>74305</v>
      </c>
      <c r="D88" s="12"/>
    </row>
    <row r="89" spans="1:4" x14ac:dyDescent="0.2">
      <c r="A89" s="37" t="s">
        <v>377</v>
      </c>
      <c r="B89" s="37" t="s">
        <v>208</v>
      </c>
      <c r="C89" s="47">
        <v>74305</v>
      </c>
      <c r="D89" s="12"/>
    </row>
    <row r="90" spans="1:4" x14ac:dyDescent="0.2">
      <c r="A90" s="37" t="s">
        <v>377</v>
      </c>
      <c r="B90" s="37" t="s">
        <v>412</v>
      </c>
      <c r="C90" s="47">
        <v>74305</v>
      </c>
      <c r="D90" s="12"/>
    </row>
    <row r="91" spans="1:4" x14ac:dyDescent="0.2">
      <c r="A91" s="37" t="s">
        <v>384</v>
      </c>
      <c r="B91" s="37" t="s">
        <v>155</v>
      </c>
      <c r="C91" s="47">
        <v>74305</v>
      </c>
      <c r="D91" s="12"/>
    </row>
    <row r="92" spans="1:4" x14ac:dyDescent="0.2">
      <c r="A92" s="37" t="s">
        <v>384</v>
      </c>
      <c r="B92" s="37" t="s">
        <v>107</v>
      </c>
      <c r="C92" s="47">
        <v>74305</v>
      </c>
      <c r="D92" s="12"/>
    </row>
    <row r="93" spans="1:4" x14ac:dyDescent="0.2">
      <c r="A93" s="37" t="s">
        <v>379</v>
      </c>
      <c r="B93" s="37" t="s">
        <v>315</v>
      </c>
      <c r="C93" s="47">
        <v>74305</v>
      </c>
      <c r="D93" s="12"/>
    </row>
    <row r="94" spans="1:4" x14ac:dyDescent="0.2">
      <c r="A94" s="37" t="s">
        <v>379</v>
      </c>
      <c r="B94" s="37" t="s">
        <v>222</v>
      </c>
      <c r="C94" s="47">
        <v>74305</v>
      </c>
      <c r="D94" s="12"/>
    </row>
    <row r="95" spans="1:4" x14ac:dyDescent="0.2">
      <c r="A95" s="37" t="s">
        <v>379</v>
      </c>
      <c r="B95" s="37" t="s">
        <v>122</v>
      </c>
      <c r="C95" s="47">
        <v>74305</v>
      </c>
      <c r="D95" s="12"/>
    </row>
    <row r="96" spans="1:4" x14ac:dyDescent="0.2">
      <c r="A96" s="37" t="s">
        <v>380</v>
      </c>
      <c r="B96" s="37" t="s">
        <v>195</v>
      </c>
      <c r="C96" s="47">
        <v>74305</v>
      </c>
      <c r="D96" s="12"/>
    </row>
    <row r="97" spans="1:4" x14ac:dyDescent="0.2">
      <c r="A97" s="37" t="s">
        <v>380</v>
      </c>
      <c r="B97" s="37" t="s">
        <v>200</v>
      </c>
      <c r="C97" s="47">
        <v>74305</v>
      </c>
      <c r="D97" s="12"/>
    </row>
    <row r="98" spans="1:4" x14ac:dyDescent="0.2">
      <c r="A98" s="37" t="s">
        <v>386</v>
      </c>
      <c r="B98" s="37" t="s">
        <v>193</v>
      </c>
      <c r="C98" s="47">
        <v>74305</v>
      </c>
      <c r="D98" s="12"/>
    </row>
    <row r="99" spans="1:4" x14ac:dyDescent="0.2">
      <c r="A99" s="37" t="s">
        <v>389</v>
      </c>
      <c r="B99" s="37" t="s">
        <v>118</v>
      </c>
      <c r="C99" s="47">
        <v>74305</v>
      </c>
      <c r="D99" s="12"/>
    </row>
    <row r="100" spans="1:4" x14ac:dyDescent="0.2">
      <c r="A100" s="37" t="s">
        <v>381</v>
      </c>
      <c r="B100" s="37" t="s">
        <v>269</v>
      </c>
      <c r="C100" s="47">
        <v>73584</v>
      </c>
      <c r="D100" s="12"/>
    </row>
    <row r="101" spans="1:4" x14ac:dyDescent="0.2">
      <c r="A101" s="37" t="s">
        <v>383</v>
      </c>
      <c r="B101" s="37" t="s">
        <v>270</v>
      </c>
      <c r="C101" s="47">
        <v>73584</v>
      </c>
      <c r="D101" s="12"/>
    </row>
    <row r="102" spans="1:4" x14ac:dyDescent="0.2">
      <c r="A102" s="37" t="s">
        <v>389</v>
      </c>
      <c r="B102" s="37" t="s">
        <v>273</v>
      </c>
      <c r="C102" s="47">
        <v>73584</v>
      </c>
      <c r="D102" s="12"/>
    </row>
    <row r="103" spans="1:4" x14ac:dyDescent="0.2">
      <c r="A103" s="37" t="s">
        <v>381</v>
      </c>
      <c r="B103" s="37" t="s">
        <v>367</v>
      </c>
      <c r="C103" s="47">
        <v>71300</v>
      </c>
      <c r="D103" s="12"/>
    </row>
    <row r="104" spans="1:4" x14ac:dyDescent="0.2">
      <c r="A104" s="37" t="s">
        <v>381</v>
      </c>
      <c r="B104" s="37" t="s">
        <v>320</v>
      </c>
      <c r="C104" s="47">
        <v>71300</v>
      </c>
      <c r="D104" s="12"/>
    </row>
    <row r="105" spans="1:4" x14ac:dyDescent="0.2">
      <c r="A105" s="37" t="s">
        <v>378</v>
      </c>
      <c r="B105" s="37" t="s">
        <v>395</v>
      </c>
      <c r="C105" s="47">
        <v>71300</v>
      </c>
      <c r="D105" s="12"/>
    </row>
    <row r="106" spans="1:4" x14ac:dyDescent="0.2">
      <c r="A106" s="37" t="s">
        <v>383</v>
      </c>
      <c r="B106" s="37" t="s">
        <v>321</v>
      </c>
      <c r="C106" s="47">
        <v>71300</v>
      </c>
      <c r="D106" s="12"/>
    </row>
    <row r="107" spans="1:4" x14ac:dyDescent="0.2">
      <c r="A107" s="37" t="s">
        <v>382</v>
      </c>
      <c r="B107" s="37" t="s">
        <v>335</v>
      </c>
      <c r="C107" s="47">
        <v>71300</v>
      </c>
      <c r="D107" s="12"/>
    </row>
    <row r="108" spans="1:4" x14ac:dyDescent="0.2">
      <c r="A108" s="37" t="s">
        <v>378</v>
      </c>
      <c r="B108" s="37" t="s">
        <v>292</v>
      </c>
      <c r="C108" s="47">
        <v>70609</v>
      </c>
      <c r="D108" s="12"/>
    </row>
    <row r="109" spans="1:4" x14ac:dyDescent="0.2">
      <c r="A109" s="37" t="s">
        <v>383</v>
      </c>
      <c r="B109" s="37" t="s">
        <v>286</v>
      </c>
      <c r="C109" s="47">
        <v>70609</v>
      </c>
      <c r="D109" s="12"/>
    </row>
    <row r="110" spans="1:4" x14ac:dyDescent="0.2">
      <c r="A110" s="37" t="s">
        <v>385</v>
      </c>
      <c r="B110" s="37" t="s">
        <v>240</v>
      </c>
      <c r="C110" s="47">
        <v>69053</v>
      </c>
      <c r="D110" s="12"/>
    </row>
    <row r="111" spans="1:4" x14ac:dyDescent="0.2">
      <c r="A111" s="37" t="s">
        <v>387</v>
      </c>
      <c r="B111" s="37" t="s">
        <v>234</v>
      </c>
      <c r="C111" s="47">
        <v>69053</v>
      </c>
      <c r="D111" s="12"/>
    </row>
    <row r="112" spans="1:4" x14ac:dyDescent="0.2">
      <c r="A112" s="37" t="s">
        <v>384</v>
      </c>
      <c r="B112" s="37" t="s">
        <v>356</v>
      </c>
      <c r="C112" s="47">
        <v>68295</v>
      </c>
      <c r="D112" s="12"/>
    </row>
    <row r="113" spans="1:4" x14ac:dyDescent="0.2">
      <c r="A113" s="37" t="s">
        <v>386</v>
      </c>
      <c r="B113" s="37" t="s">
        <v>404</v>
      </c>
      <c r="C113" s="47">
        <v>68295</v>
      </c>
      <c r="D113" s="12"/>
    </row>
    <row r="114" spans="1:4" x14ac:dyDescent="0.2">
      <c r="A114" s="37" t="s">
        <v>383</v>
      </c>
      <c r="B114" s="37" t="s">
        <v>271</v>
      </c>
      <c r="C114" s="47">
        <v>68000</v>
      </c>
      <c r="D114" s="12"/>
    </row>
    <row r="115" spans="1:4" x14ac:dyDescent="0.2">
      <c r="A115" s="37" t="s">
        <v>381</v>
      </c>
      <c r="B115" s="37" t="s">
        <v>287</v>
      </c>
      <c r="C115" s="47">
        <v>67634</v>
      </c>
      <c r="D115" s="12"/>
    </row>
    <row r="116" spans="1:4" x14ac:dyDescent="0.2">
      <c r="A116" s="37" t="s">
        <v>377</v>
      </c>
      <c r="B116" s="37" t="s">
        <v>301</v>
      </c>
      <c r="C116" s="47">
        <v>67634</v>
      </c>
      <c r="D116" s="12"/>
    </row>
    <row r="117" spans="1:4" x14ac:dyDescent="0.2">
      <c r="A117" s="37" t="s">
        <v>384</v>
      </c>
      <c r="B117" s="37" t="s">
        <v>294</v>
      </c>
      <c r="C117" s="47">
        <v>67634</v>
      </c>
      <c r="D117" s="12"/>
    </row>
    <row r="118" spans="1:4" x14ac:dyDescent="0.2">
      <c r="A118" s="37" t="s">
        <v>389</v>
      </c>
      <c r="B118" s="37" t="s">
        <v>276</v>
      </c>
      <c r="C118" s="47">
        <v>67634</v>
      </c>
      <c r="D118" s="12"/>
    </row>
    <row r="119" spans="1:4" x14ac:dyDescent="0.2">
      <c r="A119" s="37" t="s">
        <v>387</v>
      </c>
      <c r="B119" s="37" t="s">
        <v>410</v>
      </c>
      <c r="C119" s="47">
        <v>65290</v>
      </c>
      <c r="D119" s="12"/>
    </row>
    <row r="120" spans="1:4" x14ac:dyDescent="0.2">
      <c r="A120" s="37" t="s">
        <v>379</v>
      </c>
      <c r="B120" s="37" t="s">
        <v>398</v>
      </c>
      <c r="C120" s="47">
        <v>65290</v>
      </c>
      <c r="D120" s="12"/>
    </row>
    <row r="121" spans="1:4" x14ac:dyDescent="0.2">
      <c r="A121" s="37" t="s">
        <v>386</v>
      </c>
      <c r="B121" s="37" t="s">
        <v>416</v>
      </c>
      <c r="C121" s="47">
        <v>65290</v>
      </c>
      <c r="D121" s="12"/>
    </row>
    <row r="122" spans="1:4" x14ac:dyDescent="0.2">
      <c r="A122" s="37" t="s">
        <v>381</v>
      </c>
      <c r="B122" s="37" t="s">
        <v>284</v>
      </c>
      <c r="C122" s="47">
        <v>64657</v>
      </c>
      <c r="D122" s="12"/>
    </row>
    <row r="123" spans="1:4" x14ac:dyDescent="0.2">
      <c r="A123" s="37" t="s">
        <v>387</v>
      </c>
      <c r="B123" s="37" t="s">
        <v>285</v>
      </c>
      <c r="C123" s="47">
        <v>64657</v>
      </c>
      <c r="D123" s="12"/>
    </row>
    <row r="124" spans="1:4" x14ac:dyDescent="0.2">
      <c r="A124" s="37" t="s">
        <v>383</v>
      </c>
      <c r="B124" s="37" t="s">
        <v>278</v>
      </c>
      <c r="C124" s="47">
        <v>64657</v>
      </c>
      <c r="D124" s="12"/>
    </row>
    <row r="125" spans="1:4" x14ac:dyDescent="0.2">
      <c r="A125" s="37" t="s">
        <v>384</v>
      </c>
      <c r="B125" s="37" t="s">
        <v>261</v>
      </c>
      <c r="C125" s="47">
        <v>62675</v>
      </c>
      <c r="D125" s="12"/>
    </row>
    <row r="126" spans="1:4" x14ac:dyDescent="0.2">
      <c r="A126" s="37" t="s">
        <v>385</v>
      </c>
      <c r="B126" s="37" t="s">
        <v>407</v>
      </c>
      <c r="C126" s="47">
        <v>62285</v>
      </c>
      <c r="D126" s="12"/>
    </row>
    <row r="127" spans="1:4" x14ac:dyDescent="0.2">
      <c r="A127" s="37" t="s">
        <v>385</v>
      </c>
      <c r="B127" s="37" t="s">
        <v>334</v>
      </c>
      <c r="C127" s="47">
        <v>62285</v>
      </c>
      <c r="D127" s="12"/>
    </row>
    <row r="128" spans="1:4" x14ac:dyDescent="0.2">
      <c r="A128" s="37" t="s">
        <v>385</v>
      </c>
      <c r="B128" s="37" t="s">
        <v>408</v>
      </c>
      <c r="C128" s="47">
        <v>62285</v>
      </c>
      <c r="D128" s="12"/>
    </row>
    <row r="129" spans="1:4" x14ac:dyDescent="0.2">
      <c r="A129" s="37" t="s">
        <v>383</v>
      </c>
      <c r="B129" s="37" t="s">
        <v>397</v>
      </c>
      <c r="C129" s="47">
        <v>62285</v>
      </c>
      <c r="D129" s="12"/>
    </row>
    <row r="130" spans="1:4" x14ac:dyDescent="0.2">
      <c r="A130" s="37" t="s">
        <v>382</v>
      </c>
      <c r="B130" s="37" t="s">
        <v>337</v>
      </c>
      <c r="C130" s="47">
        <v>62285</v>
      </c>
      <c r="D130" s="12"/>
    </row>
    <row r="131" spans="1:4" x14ac:dyDescent="0.2">
      <c r="A131" s="37" t="s">
        <v>382</v>
      </c>
      <c r="B131" s="37" t="s">
        <v>274</v>
      </c>
      <c r="C131" s="47">
        <v>62285</v>
      </c>
      <c r="D131" s="12"/>
    </row>
    <row r="132" spans="1:4" x14ac:dyDescent="0.2">
      <c r="A132" s="37" t="s">
        <v>380</v>
      </c>
      <c r="B132" s="37" t="s">
        <v>414</v>
      </c>
      <c r="C132" s="47">
        <v>62285</v>
      </c>
      <c r="D132" s="12"/>
    </row>
    <row r="133" spans="1:4" x14ac:dyDescent="0.2">
      <c r="A133" s="37" t="s">
        <v>380</v>
      </c>
      <c r="B133" s="37" t="s">
        <v>369</v>
      </c>
      <c r="C133" s="47">
        <v>62285</v>
      </c>
      <c r="D133" s="12"/>
    </row>
    <row r="134" spans="1:4" x14ac:dyDescent="0.2">
      <c r="A134" s="37" t="s">
        <v>386</v>
      </c>
      <c r="B134" s="37" t="s">
        <v>375</v>
      </c>
      <c r="C134" s="47">
        <v>62285</v>
      </c>
      <c r="D134" s="12"/>
    </row>
    <row r="135" spans="1:4" x14ac:dyDescent="0.2">
      <c r="A135" s="37" t="s">
        <v>389</v>
      </c>
      <c r="B135" s="37" t="s">
        <v>417</v>
      </c>
      <c r="C135" s="47">
        <v>62285</v>
      </c>
      <c r="D135" s="12"/>
    </row>
    <row r="136" spans="1:4" x14ac:dyDescent="0.2">
      <c r="A136" s="12" t="s">
        <v>386</v>
      </c>
      <c r="B136" s="12" t="s">
        <v>248</v>
      </c>
      <c r="C136" s="44">
        <v>60736</v>
      </c>
      <c r="D136" s="12"/>
    </row>
    <row r="137" spans="1:4" x14ac:dyDescent="0.2">
      <c r="A137" s="12" t="s">
        <v>378</v>
      </c>
      <c r="B137" s="12" t="s">
        <v>81</v>
      </c>
      <c r="C137" s="44">
        <v>48460</v>
      </c>
      <c r="D137" s="12"/>
    </row>
    <row r="138" spans="1:4" x14ac:dyDescent="0.2">
      <c r="A138" s="12" t="s">
        <v>385</v>
      </c>
      <c r="B138" s="12" t="s">
        <v>409</v>
      </c>
      <c r="C138" s="44">
        <v>38183</v>
      </c>
      <c r="D138" s="12"/>
    </row>
    <row r="139" spans="1:4" x14ac:dyDescent="0.2">
      <c r="A139" s="12" t="s">
        <v>378</v>
      </c>
      <c r="B139" s="12" t="s">
        <v>157</v>
      </c>
      <c r="C139" s="44">
        <v>35861</v>
      </c>
      <c r="D139" s="12"/>
    </row>
    <row r="140" spans="1:4" x14ac:dyDescent="0.2">
      <c r="A140" s="12" t="s">
        <v>384</v>
      </c>
      <c r="B140" s="12" t="s">
        <v>298</v>
      </c>
      <c r="C140" s="44">
        <v>34934</v>
      </c>
      <c r="D140" s="12"/>
    </row>
    <row r="141" spans="1:4" x14ac:dyDescent="0.2">
      <c r="A141" s="12" t="s">
        <v>387</v>
      </c>
      <c r="B141" s="12" t="s">
        <v>411</v>
      </c>
      <c r="C141" s="44">
        <v>25456</v>
      </c>
      <c r="D141" s="12"/>
    </row>
    <row r="142" spans="1:4" x14ac:dyDescent="0.2">
      <c r="A142" s="12" t="s">
        <v>377</v>
      </c>
      <c r="B142" s="12" t="s">
        <v>136</v>
      </c>
      <c r="C142" s="44">
        <v>9207</v>
      </c>
      <c r="D142" s="12"/>
    </row>
    <row r="143" spans="1:4" x14ac:dyDescent="0.2">
      <c r="A143" s="12" t="s">
        <v>384</v>
      </c>
      <c r="B143" s="12" t="s">
        <v>290</v>
      </c>
      <c r="C143" s="44">
        <v>8530</v>
      </c>
      <c r="D143" s="12"/>
    </row>
    <row r="144" spans="1:4" x14ac:dyDescent="0.2">
      <c r="A144" s="12" t="s">
        <v>380</v>
      </c>
      <c r="B144" s="12" t="s">
        <v>415</v>
      </c>
      <c r="C144" s="44">
        <v>2437</v>
      </c>
      <c r="D144" s="12"/>
    </row>
    <row r="145" spans="1:4" x14ac:dyDescent="0.2">
      <c r="A145" s="12" t="s">
        <v>380</v>
      </c>
      <c r="B145" s="12" t="s">
        <v>324</v>
      </c>
      <c r="C145" s="44">
        <v>1625</v>
      </c>
      <c r="D145" s="12"/>
    </row>
  </sheetData>
  <sortState xmlns:xlrd2="http://schemas.microsoft.com/office/spreadsheetml/2017/richdata2" ref="A2:D166">
    <sortCondition descending="1" ref="C140:C166"/>
  </sortState>
  <hyperlinks>
    <hyperlink ref="D1" r:id="rId1" xr:uid="{6EABED2F-24CB-2248-8731-5BC95CA2F91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3FC6-F42B-2347-BCAF-903BA14D2306}">
  <dimension ref="A1:D146"/>
  <sheetViews>
    <sheetView topLeftCell="A123" zoomScale="107" workbookViewId="0">
      <selection activeCell="D1" sqref="D1"/>
    </sheetView>
  </sheetViews>
  <sheetFormatPr baseColWidth="10" defaultRowHeight="16" x14ac:dyDescent="0.2"/>
  <cols>
    <col min="1" max="1" width="16.33203125" customWidth="1"/>
    <col min="2" max="2" width="46.33203125" customWidth="1"/>
    <col min="3" max="3" width="25.6640625" style="9" customWidth="1"/>
    <col min="4" max="4" width="65.6640625" customWidth="1"/>
  </cols>
  <sheetData>
    <row r="1" spans="1:4" ht="43" customHeight="1" x14ac:dyDescent="0.2">
      <c r="A1" s="7" t="s">
        <v>204</v>
      </c>
      <c r="B1" s="7" t="s">
        <v>310</v>
      </c>
      <c r="C1" s="49" t="s">
        <v>205</v>
      </c>
      <c r="D1" s="8" t="s">
        <v>406</v>
      </c>
    </row>
    <row r="2" spans="1:4" x14ac:dyDescent="0.2">
      <c r="A2" s="37" t="s">
        <v>378</v>
      </c>
      <c r="B2" s="37" t="s">
        <v>159</v>
      </c>
      <c r="C2" s="38">
        <v>241984</v>
      </c>
      <c r="D2" s="12"/>
    </row>
    <row r="3" spans="1:4" x14ac:dyDescent="0.2">
      <c r="A3" s="37" t="s">
        <v>380</v>
      </c>
      <c r="B3" s="37" t="s">
        <v>127</v>
      </c>
      <c r="C3" s="38">
        <v>241984</v>
      </c>
      <c r="D3" s="12"/>
    </row>
    <row r="4" spans="1:4" x14ac:dyDescent="0.2">
      <c r="A4" s="37" t="s">
        <v>386</v>
      </c>
      <c r="B4" s="37" t="s">
        <v>55</v>
      </c>
      <c r="C4" s="38">
        <v>241984</v>
      </c>
      <c r="D4" s="12"/>
    </row>
    <row r="5" spans="1:4" x14ac:dyDescent="0.2">
      <c r="A5" s="37" t="s">
        <v>380</v>
      </c>
      <c r="B5" s="37" t="s">
        <v>61</v>
      </c>
      <c r="C5" s="38">
        <v>234936</v>
      </c>
      <c r="D5" s="12"/>
    </row>
    <row r="6" spans="1:4" x14ac:dyDescent="0.2">
      <c r="A6" s="37" t="s">
        <v>378</v>
      </c>
      <c r="B6" s="37" t="s">
        <v>75</v>
      </c>
      <c r="C6" s="38">
        <v>234350</v>
      </c>
      <c r="D6" s="12"/>
    </row>
    <row r="7" spans="1:4" x14ac:dyDescent="0.2">
      <c r="A7" s="37" t="s">
        <v>377</v>
      </c>
      <c r="B7" s="37" t="s">
        <v>140</v>
      </c>
      <c r="C7" s="38">
        <v>227303</v>
      </c>
      <c r="D7" s="12"/>
    </row>
    <row r="8" spans="1:4" x14ac:dyDescent="0.2">
      <c r="A8" s="37" t="s">
        <v>387</v>
      </c>
      <c r="B8" s="37" t="s">
        <v>82</v>
      </c>
      <c r="C8" s="38">
        <v>218000</v>
      </c>
      <c r="D8" s="12"/>
    </row>
    <row r="9" spans="1:4" x14ac:dyDescent="0.2">
      <c r="A9" s="37" t="s">
        <v>387</v>
      </c>
      <c r="B9" s="37" t="s">
        <v>181</v>
      </c>
      <c r="C9" s="38">
        <v>217592</v>
      </c>
      <c r="D9" s="12"/>
    </row>
    <row r="10" spans="1:4" x14ac:dyDescent="0.2">
      <c r="A10" s="37" t="s">
        <v>379</v>
      </c>
      <c r="B10" s="37" t="s">
        <v>158</v>
      </c>
      <c r="C10" s="38">
        <v>215469</v>
      </c>
      <c r="D10" s="12"/>
    </row>
    <row r="11" spans="1:4" x14ac:dyDescent="0.2">
      <c r="A11" s="37" t="s">
        <v>384</v>
      </c>
      <c r="B11" s="37" t="s">
        <v>272</v>
      </c>
      <c r="C11" s="38">
        <v>215000</v>
      </c>
      <c r="D11" s="12"/>
    </row>
    <row r="12" spans="1:4" x14ac:dyDescent="0.2">
      <c r="A12" s="37" t="s">
        <v>386</v>
      </c>
      <c r="B12" s="37" t="s">
        <v>79</v>
      </c>
      <c r="C12" s="38">
        <v>214500</v>
      </c>
      <c r="D12" s="12"/>
    </row>
    <row r="13" spans="1:4" x14ac:dyDescent="0.2">
      <c r="A13" s="37" t="s">
        <v>387</v>
      </c>
      <c r="B13" s="37" t="s">
        <v>142</v>
      </c>
      <c r="C13" s="38">
        <v>212000</v>
      </c>
      <c r="D13" s="12"/>
    </row>
    <row r="14" spans="1:4" x14ac:dyDescent="0.2">
      <c r="A14" s="37" t="s">
        <v>383</v>
      </c>
      <c r="B14" s="37" t="s">
        <v>138</v>
      </c>
      <c r="C14" s="38">
        <v>212000</v>
      </c>
      <c r="D14" s="12"/>
    </row>
    <row r="15" spans="1:4" x14ac:dyDescent="0.2">
      <c r="A15" s="37" t="s">
        <v>387</v>
      </c>
      <c r="B15" s="37" t="s">
        <v>48</v>
      </c>
      <c r="C15" s="38">
        <v>209593</v>
      </c>
      <c r="D15" s="12"/>
    </row>
    <row r="16" spans="1:4" x14ac:dyDescent="0.2">
      <c r="A16" s="37" t="s">
        <v>386</v>
      </c>
      <c r="B16" s="37" t="s">
        <v>51</v>
      </c>
      <c r="C16" s="38">
        <v>208219</v>
      </c>
      <c r="D16" s="12"/>
    </row>
    <row r="17" spans="1:4" x14ac:dyDescent="0.2">
      <c r="A17" s="37" t="s">
        <v>379</v>
      </c>
      <c r="B17" s="37" t="s">
        <v>77</v>
      </c>
      <c r="C17" s="38">
        <v>208000</v>
      </c>
      <c r="D17" s="12"/>
    </row>
    <row r="18" spans="1:4" x14ac:dyDescent="0.2">
      <c r="A18" s="37" t="s">
        <v>382</v>
      </c>
      <c r="B18" s="37" t="s">
        <v>124</v>
      </c>
      <c r="C18" s="38">
        <v>205000</v>
      </c>
      <c r="D18" s="12"/>
    </row>
    <row r="19" spans="1:4" x14ac:dyDescent="0.2">
      <c r="A19" s="37" t="s">
        <v>383</v>
      </c>
      <c r="B19" s="37" t="s">
        <v>116</v>
      </c>
      <c r="C19" s="38">
        <v>202154</v>
      </c>
      <c r="D19" s="12"/>
    </row>
    <row r="20" spans="1:4" x14ac:dyDescent="0.2">
      <c r="A20" s="37" t="s">
        <v>382</v>
      </c>
      <c r="B20" s="37" t="s">
        <v>213</v>
      </c>
      <c r="C20" s="38">
        <v>202000</v>
      </c>
      <c r="D20" s="12"/>
    </row>
    <row r="21" spans="1:4" x14ac:dyDescent="0.2">
      <c r="A21" s="37" t="s">
        <v>381</v>
      </c>
      <c r="B21" s="37" t="s">
        <v>88</v>
      </c>
      <c r="C21" s="38">
        <v>200000</v>
      </c>
      <c r="D21" s="12"/>
    </row>
    <row r="22" spans="1:4" x14ac:dyDescent="0.2">
      <c r="A22" s="37" t="s">
        <v>377</v>
      </c>
      <c r="B22" s="37" t="s">
        <v>132</v>
      </c>
      <c r="C22" s="38">
        <v>200000</v>
      </c>
      <c r="D22" s="12"/>
    </row>
    <row r="23" spans="1:4" x14ac:dyDescent="0.2">
      <c r="A23" s="37" t="s">
        <v>380</v>
      </c>
      <c r="B23" s="37" t="s">
        <v>69</v>
      </c>
      <c r="C23" s="38">
        <v>200000</v>
      </c>
      <c r="D23" s="12"/>
    </row>
    <row r="24" spans="1:4" x14ac:dyDescent="0.2">
      <c r="A24" s="37" t="s">
        <v>389</v>
      </c>
      <c r="B24" s="37" t="s">
        <v>154</v>
      </c>
      <c r="C24" s="38">
        <v>200000</v>
      </c>
      <c r="D24" s="12"/>
    </row>
    <row r="25" spans="1:4" x14ac:dyDescent="0.2">
      <c r="A25" s="37" t="s">
        <v>389</v>
      </c>
      <c r="B25" s="37" t="s">
        <v>143</v>
      </c>
      <c r="C25" s="38">
        <v>200000</v>
      </c>
      <c r="D25" s="12"/>
    </row>
    <row r="26" spans="1:4" x14ac:dyDescent="0.2">
      <c r="A26" s="37" t="s">
        <v>377</v>
      </c>
      <c r="B26" s="37" t="s">
        <v>71</v>
      </c>
      <c r="C26" s="38">
        <v>196267</v>
      </c>
      <c r="D26" s="12"/>
    </row>
    <row r="27" spans="1:4" x14ac:dyDescent="0.2">
      <c r="A27" s="37" t="s">
        <v>378</v>
      </c>
      <c r="B27" s="37" t="s">
        <v>146</v>
      </c>
      <c r="C27" s="38">
        <v>195700</v>
      </c>
      <c r="D27" s="12"/>
    </row>
    <row r="28" spans="1:4" x14ac:dyDescent="0.2">
      <c r="A28" s="37" t="s">
        <v>378</v>
      </c>
      <c r="B28" s="37" t="s">
        <v>219</v>
      </c>
      <c r="C28" s="38">
        <v>195000</v>
      </c>
      <c r="D28" s="12"/>
    </row>
    <row r="29" spans="1:4" x14ac:dyDescent="0.2">
      <c r="A29" s="37" t="s">
        <v>382</v>
      </c>
      <c r="B29" s="37" t="s">
        <v>63</v>
      </c>
      <c r="C29" s="38">
        <v>194670</v>
      </c>
      <c r="D29" s="12"/>
    </row>
    <row r="30" spans="1:4" x14ac:dyDescent="0.2">
      <c r="A30" s="37" t="s">
        <v>382</v>
      </c>
      <c r="B30" s="37" t="s">
        <v>128</v>
      </c>
      <c r="C30" s="38">
        <v>190000</v>
      </c>
      <c r="D30" s="12"/>
    </row>
    <row r="31" spans="1:4" x14ac:dyDescent="0.2">
      <c r="A31" s="37" t="s">
        <v>380</v>
      </c>
      <c r="B31" s="37" t="s">
        <v>179</v>
      </c>
      <c r="C31" s="38">
        <v>189500</v>
      </c>
      <c r="D31" s="12"/>
    </row>
    <row r="32" spans="1:4" x14ac:dyDescent="0.2">
      <c r="A32" s="37" t="s">
        <v>384</v>
      </c>
      <c r="B32" s="37" t="s">
        <v>73</v>
      </c>
      <c r="C32" s="38">
        <v>189000</v>
      </c>
      <c r="D32" s="12"/>
    </row>
    <row r="33" spans="1:4" x14ac:dyDescent="0.2">
      <c r="A33" s="37" t="s">
        <v>381</v>
      </c>
      <c r="B33" s="37" t="s">
        <v>155</v>
      </c>
      <c r="C33" s="38">
        <v>185000</v>
      </c>
      <c r="D33" s="12"/>
    </row>
    <row r="34" spans="1:4" x14ac:dyDescent="0.2">
      <c r="A34" s="37" t="s">
        <v>381</v>
      </c>
      <c r="B34" s="37" t="s">
        <v>131</v>
      </c>
      <c r="C34" s="38">
        <v>185000</v>
      </c>
      <c r="D34" s="12"/>
    </row>
    <row r="35" spans="1:4" x14ac:dyDescent="0.2">
      <c r="A35" s="37" t="s">
        <v>389</v>
      </c>
      <c r="B35" s="37" t="s">
        <v>70</v>
      </c>
      <c r="C35" s="38">
        <v>185000</v>
      </c>
      <c r="D35" s="12"/>
    </row>
    <row r="36" spans="1:4" x14ac:dyDescent="0.2">
      <c r="A36" s="37" t="s">
        <v>379</v>
      </c>
      <c r="B36" s="37" t="s">
        <v>175</v>
      </c>
      <c r="C36" s="38">
        <v>180200</v>
      </c>
      <c r="D36" s="12"/>
    </row>
    <row r="37" spans="1:4" x14ac:dyDescent="0.2">
      <c r="A37" s="37" t="s">
        <v>382</v>
      </c>
      <c r="B37" s="37" t="s">
        <v>117</v>
      </c>
      <c r="C37" s="38">
        <v>180000</v>
      </c>
      <c r="D37" s="12"/>
    </row>
    <row r="38" spans="1:4" x14ac:dyDescent="0.2">
      <c r="A38" s="37" t="s">
        <v>383</v>
      </c>
      <c r="B38" s="37" t="s">
        <v>147</v>
      </c>
      <c r="C38" s="38">
        <v>175000</v>
      </c>
      <c r="D38" s="12"/>
    </row>
    <row r="39" spans="1:4" x14ac:dyDescent="0.2">
      <c r="A39" s="37" t="s">
        <v>379</v>
      </c>
      <c r="B39" s="37" t="s">
        <v>130</v>
      </c>
      <c r="C39" s="38">
        <v>175000</v>
      </c>
      <c r="D39" s="12"/>
    </row>
    <row r="40" spans="1:4" x14ac:dyDescent="0.2">
      <c r="A40" s="37" t="s">
        <v>377</v>
      </c>
      <c r="B40" s="37" t="s">
        <v>148</v>
      </c>
      <c r="C40" s="38">
        <v>169950</v>
      </c>
      <c r="D40" s="12"/>
    </row>
    <row r="41" spans="1:4" x14ac:dyDescent="0.2">
      <c r="A41" s="37" t="s">
        <v>385</v>
      </c>
      <c r="B41" s="37" t="s">
        <v>84</v>
      </c>
      <c r="C41" s="38">
        <v>165000</v>
      </c>
      <c r="D41" s="12"/>
    </row>
    <row r="42" spans="1:4" x14ac:dyDescent="0.2">
      <c r="A42" s="37" t="s">
        <v>385</v>
      </c>
      <c r="B42" s="37" t="s">
        <v>149</v>
      </c>
      <c r="C42" s="38">
        <v>160000</v>
      </c>
      <c r="D42" s="12"/>
    </row>
    <row r="43" spans="1:4" x14ac:dyDescent="0.2">
      <c r="A43" s="37" t="s">
        <v>380</v>
      </c>
      <c r="B43" s="37" t="s">
        <v>113</v>
      </c>
      <c r="C43" s="38">
        <v>160000</v>
      </c>
      <c r="D43" s="12"/>
    </row>
    <row r="44" spans="1:4" x14ac:dyDescent="0.2">
      <c r="A44" s="37" t="s">
        <v>386</v>
      </c>
      <c r="B44" s="37" t="s">
        <v>192</v>
      </c>
      <c r="C44" s="38">
        <v>160000</v>
      </c>
      <c r="D44" s="12"/>
    </row>
    <row r="45" spans="1:4" x14ac:dyDescent="0.2">
      <c r="A45" s="37" t="s">
        <v>381</v>
      </c>
      <c r="B45" s="37" t="s">
        <v>129</v>
      </c>
      <c r="C45" s="38">
        <v>155000</v>
      </c>
      <c r="D45" s="12"/>
    </row>
    <row r="46" spans="1:4" x14ac:dyDescent="0.2">
      <c r="A46" s="37" t="s">
        <v>386</v>
      </c>
      <c r="B46" s="37" t="s">
        <v>171</v>
      </c>
      <c r="C46" s="38">
        <v>155000</v>
      </c>
      <c r="D46" s="12"/>
    </row>
    <row r="47" spans="1:4" x14ac:dyDescent="0.2">
      <c r="A47" s="37" t="s">
        <v>381</v>
      </c>
      <c r="B47" s="37" t="s">
        <v>141</v>
      </c>
      <c r="C47" s="38">
        <v>150000</v>
      </c>
      <c r="D47" s="12"/>
    </row>
    <row r="48" spans="1:4" x14ac:dyDescent="0.2">
      <c r="A48" s="37" t="s">
        <v>385</v>
      </c>
      <c r="B48" s="37" t="s">
        <v>172</v>
      </c>
      <c r="C48" s="38">
        <v>150000</v>
      </c>
      <c r="D48" s="12"/>
    </row>
    <row r="49" spans="1:4" x14ac:dyDescent="0.2">
      <c r="A49" s="37" t="s">
        <v>379</v>
      </c>
      <c r="B49" s="37" t="s">
        <v>160</v>
      </c>
      <c r="C49" s="38">
        <v>150000</v>
      </c>
      <c r="D49" s="12"/>
    </row>
    <row r="50" spans="1:4" x14ac:dyDescent="0.2">
      <c r="A50" s="37" t="s">
        <v>380</v>
      </c>
      <c r="B50" s="37" t="s">
        <v>72</v>
      </c>
      <c r="C50" s="38">
        <v>150000</v>
      </c>
      <c r="D50" s="12"/>
    </row>
    <row r="51" spans="1:4" x14ac:dyDescent="0.2">
      <c r="A51" s="37" t="s">
        <v>384</v>
      </c>
      <c r="B51" s="37" t="s">
        <v>167</v>
      </c>
      <c r="C51" s="38">
        <v>142500</v>
      </c>
      <c r="D51" s="12"/>
    </row>
    <row r="52" spans="1:4" x14ac:dyDescent="0.2">
      <c r="A52" s="37" t="s">
        <v>385</v>
      </c>
      <c r="B52" s="37" t="s">
        <v>123</v>
      </c>
      <c r="C52" s="38">
        <v>141500</v>
      </c>
      <c r="D52" s="12"/>
    </row>
    <row r="53" spans="1:4" x14ac:dyDescent="0.2">
      <c r="A53" s="37" t="s">
        <v>386</v>
      </c>
      <c r="B53" s="37" t="s">
        <v>153</v>
      </c>
      <c r="C53" s="38">
        <v>140000</v>
      </c>
      <c r="D53" s="12"/>
    </row>
    <row r="54" spans="1:4" x14ac:dyDescent="0.2">
      <c r="A54" s="37" t="s">
        <v>387</v>
      </c>
      <c r="B54" s="37" t="s">
        <v>152</v>
      </c>
      <c r="C54" s="38">
        <v>139050</v>
      </c>
      <c r="D54" s="12"/>
    </row>
    <row r="55" spans="1:4" x14ac:dyDescent="0.2">
      <c r="A55" s="37" t="s">
        <v>381</v>
      </c>
      <c r="B55" s="37" t="s">
        <v>50</v>
      </c>
      <c r="C55" s="38">
        <v>130000</v>
      </c>
      <c r="D55" s="12"/>
    </row>
    <row r="56" spans="1:4" x14ac:dyDescent="0.2">
      <c r="A56" s="37" t="s">
        <v>387</v>
      </c>
      <c r="B56" s="37" t="s">
        <v>257</v>
      </c>
      <c r="C56" s="38">
        <v>125000</v>
      </c>
      <c r="D56" s="12"/>
    </row>
    <row r="57" spans="1:4" x14ac:dyDescent="0.2">
      <c r="A57" s="37" t="s">
        <v>378</v>
      </c>
      <c r="B57" s="37" t="s">
        <v>157</v>
      </c>
      <c r="C57" s="38">
        <v>125000</v>
      </c>
      <c r="D57" s="12"/>
    </row>
    <row r="58" spans="1:4" x14ac:dyDescent="0.2">
      <c r="A58" s="37" t="s">
        <v>384</v>
      </c>
      <c r="B58" s="37" t="s">
        <v>298</v>
      </c>
      <c r="C58" s="38">
        <v>125000</v>
      </c>
      <c r="D58" s="12"/>
    </row>
    <row r="59" spans="1:4" x14ac:dyDescent="0.2">
      <c r="A59" s="37" t="s">
        <v>379</v>
      </c>
      <c r="B59" s="37" t="s">
        <v>226</v>
      </c>
      <c r="C59" s="38">
        <v>125000</v>
      </c>
      <c r="D59" s="12"/>
    </row>
    <row r="60" spans="1:4" x14ac:dyDescent="0.2">
      <c r="A60" s="37" t="s">
        <v>389</v>
      </c>
      <c r="B60" s="37" t="s">
        <v>261</v>
      </c>
      <c r="C60" s="38">
        <v>125000</v>
      </c>
      <c r="D60" s="12"/>
    </row>
    <row r="61" spans="1:4" x14ac:dyDescent="0.2">
      <c r="A61" s="37" t="s">
        <v>379</v>
      </c>
      <c r="B61" s="37" t="s">
        <v>196</v>
      </c>
      <c r="C61" s="38">
        <v>120000</v>
      </c>
      <c r="D61" s="12"/>
    </row>
    <row r="62" spans="1:4" x14ac:dyDescent="0.2">
      <c r="A62" s="37" t="s">
        <v>384</v>
      </c>
      <c r="B62" s="37" t="s">
        <v>173</v>
      </c>
      <c r="C62" s="38">
        <v>115000</v>
      </c>
      <c r="D62" s="12"/>
    </row>
    <row r="63" spans="1:4" x14ac:dyDescent="0.2">
      <c r="A63" s="37" t="s">
        <v>377</v>
      </c>
      <c r="B63" s="37" t="s">
        <v>111</v>
      </c>
      <c r="C63" s="38">
        <v>110000</v>
      </c>
      <c r="D63" s="12"/>
    </row>
    <row r="64" spans="1:4" x14ac:dyDescent="0.2">
      <c r="A64" s="37" t="s">
        <v>382</v>
      </c>
      <c r="B64" s="37" t="s">
        <v>109</v>
      </c>
      <c r="C64" s="38">
        <v>110000</v>
      </c>
      <c r="D64" s="12"/>
    </row>
    <row r="65" spans="1:4" x14ac:dyDescent="0.2">
      <c r="A65" s="37" t="s">
        <v>385</v>
      </c>
      <c r="B65" s="37" t="s">
        <v>137</v>
      </c>
      <c r="C65" s="38">
        <v>100000</v>
      </c>
      <c r="D65" s="12"/>
    </row>
    <row r="66" spans="1:4" x14ac:dyDescent="0.2">
      <c r="A66" s="37" t="s">
        <v>377</v>
      </c>
      <c r="B66" s="37" t="s">
        <v>108</v>
      </c>
      <c r="C66" s="38">
        <v>100000</v>
      </c>
      <c r="D66" s="12"/>
    </row>
    <row r="67" spans="1:4" x14ac:dyDescent="0.2">
      <c r="A67" s="37" t="s">
        <v>384</v>
      </c>
      <c r="B67" s="37" t="s">
        <v>107</v>
      </c>
      <c r="C67" s="38">
        <v>100000</v>
      </c>
      <c r="D67" s="12"/>
    </row>
    <row r="68" spans="1:4" x14ac:dyDescent="0.2">
      <c r="A68" s="37" t="s">
        <v>389</v>
      </c>
      <c r="B68" s="37" t="s">
        <v>144</v>
      </c>
      <c r="C68" s="38">
        <v>97850</v>
      </c>
      <c r="D68" s="12"/>
    </row>
    <row r="69" spans="1:4" x14ac:dyDescent="0.2">
      <c r="A69" s="37" t="s">
        <v>387</v>
      </c>
      <c r="B69" s="37" t="s">
        <v>221</v>
      </c>
      <c r="C69" s="38">
        <v>97100</v>
      </c>
      <c r="D69" s="12"/>
    </row>
    <row r="70" spans="1:4" x14ac:dyDescent="0.2">
      <c r="A70" s="37" t="s">
        <v>383</v>
      </c>
      <c r="B70" s="37" t="s">
        <v>96</v>
      </c>
      <c r="C70" s="38">
        <v>97100</v>
      </c>
      <c r="D70" s="12"/>
    </row>
    <row r="71" spans="1:4" x14ac:dyDescent="0.2">
      <c r="A71" s="37" t="s">
        <v>385</v>
      </c>
      <c r="B71" s="37" t="s">
        <v>122</v>
      </c>
      <c r="C71" s="38">
        <v>95000</v>
      </c>
      <c r="D71" s="12"/>
    </row>
    <row r="72" spans="1:4" x14ac:dyDescent="0.2">
      <c r="A72" s="37" t="s">
        <v>377</v>
      </c>
      <c r="B72" s="37" t="s">
        <v>195</v>
      </c>
      <c r="C72" s="38">
        <v>94000</v>
      </c>
      <c r="D72" s="12"/>
    </row>
    <row r="73" spans="1:4" x14ac:dyDescent="0.2">
      <c r="A73" s="37" t="s">
        <v>385</v>
      </c>
      <c r="B73" s="37" t="s">
        <v>222</v>
      </c>
      <c r="C73" s="38">
        <v>90000</v>
      </c>
      <c r="D73" s="12"/>
    </row>
    <row r="74" spans="1:4" x14ac:dyDescent="0.2">
      <c r="A74" s="37" t="s">
        <v>384</v>
      </c>
      <c r="B74" s="37" t="s">
        <v>255</v>
      </c>
      <c r="C74" s="38">
        <v>89302</v>
      </c>
      <c r="D74" s="12"/>
    </row>
    <row r="75" spans="1:4" x14ac:dyDescent="0.2">
      <c r="A75" s="37" t="s">
        <v>377</v>
      </c>
      <c r="B75" s="37" t="s">
        <v>65</v>
      </c>
      <c r="C75" s="38">
        <v>88000</v>
      </c>
      <c r="D75" s="12"/>
    </row>
    <row r="76" spans="1:4" x14ac:dyDescent="0.2">
      <c r="A76" s="37" t="s">
        <v>385</v>
      </c>
      <c r="B76" s="37" t="s">
        <v>258</v>
      </c>
      <c r="C76" s="38">
        <v>85690</v>
      </c>
      <c r="D76" s="12"/>
    </row>
    <row r="77" spans="1:4" x14ac:dyDescent="0.2">
      <c r="A77" s="37" t="s">
        <v>381</v>
      </c>
      <c r="B77" s="37" t="s">
        <v>269</v>
      </c>
      <c r="C77" s="38">
        <v>80943</v>
      </c>
      <c r="D77" s="12"/>
    </row>
    <row r="78" spans="1:4" x14ac:dyDescent="0.2">
      <c r="A78" s="37" t="s">
        <v>383</v>
      </c>
      <c r="B78" s="37" t="s">
        <v>270</v>
      </c>
      <c r="C78" s="38">
        <v>80943</v>
      </c>
      <c r="D78" s="12"/>
    </row>
    <row r="79" spans="1:4" x14ac:dyDescent="0.2">
      <c r="A79" s="37" t="s">
        <v>389</v>
      </c>
      <c r="B79" s="37" t="s">
        <v>273</v>
      </c>
      <c r="C79" s="38">
        <v>80943</v>
      </c>
      <c r="D79" s="12"/>
    </row>
    <row r="80" spans="1:4" x14ac:dyDescent="0.2">
      <c r="A80" s="37" t="s">
        <v>384</v>
      </c>
      <c r="B80" s="37" t="s">
        <v>166</v>
      </c>
      <c r="C80" s="38">
        <v>80340</v>
      </c>
      <c r="D80" s="12"/>
    </row>
    <row r="81" spans="1:4" x14ac:dyDescent="0.2">
      <c r="A81" s="37" t="s">
        <v>385</v>
      </c>
      <c r="B81" s="37" t="s">
        <v>240</v>
      </c>
      <c r="C81" s="38">
        <v>78469</v>
      </c>
      <c r="D81" s="12"/>
    </row>
    <row r="82" spans="1:4" x14ac:dyDescent="0.2">
      <c r="A82" s="37" t="s">
        <v>387</v>
      </c>
      <c r="B82" s="37" t="s">
        <v>234</v>
      </c>
      <c r="C82" s="38">
        <v>78469</v>
      </c>
      <c r="D82" s="12"/>
    </row>
    <row r="83" spans="1:4" x14ac:dyDescent="0.2">
      <c r="A83" s="37" t="s">
        <v>383</v>
      </c>
      <c r="B83" s="37" t="s">
        <v>286</v>
      </c>
      <c r="C83" s="38">
        <v>77669</v>
      </c>
      <c r="D83" s="12"/>
    </row>
    <row r="84" spans="1:4" x14ac:dyDescent="0.2">
      <c r="A84" s="37" t="s">
        <v>385</v>
      </c>
      <c r="B84" s="37" t="s">
        <v>349</v>
      </c>
      <c r="C84" s="38">
        <v>76535</v>
      </c>
      <c r="D84" s="12"/>
    </row>
    <row r="85" spans="1:4" x14ac:dyDescent="0.2">
      <c r="A85" s="37" t="s">
        <v>385</v>
      </c>
      <c r="B85" s="37" t="s">
        <v>206</v>
      </c>
      <c r="C85" s="38">
        <v>76535</v>
      </c>
      <c r="D85" s="12"/>
    </row>
    <row r="86" spans="1:4" x14ac:dyDescent="0.2">
      <c r="A86" s="37" t="s">
        <v>378</v>
      </c>
      <c r="B86" s="37" t="s">
        <v>394</v>
      </c>
      <c r="C86" s="38">
        <v>76535</v>
      </c>
      <c r="D86" s="12"/>
    </row>
    <row r="87" spans="1:4" x14ac:dyDescent="0.2">
      <c r="A87" s="37" t="s">
        <v>383</v>
      </c>
      <c r="B87" s="37" t="s">
        <v>339</v>
      </c>
      <c r="C87" s="38">
        <v>76535</v>
      </c>
      <c r="D87" s="12"/>
    </row>
    <row r="88" spans="1:4" x14ac:dyDescent="0.2">
      <c r="A88" s="37" t="s">
        <v>383</v>
      </c>
      <c r="B88" s="37" t="s">
        <v>161</v>
      </c>
      <c r="C88" s="38">
        <v>76535</v>
      </c>
      <c r="D88" s="12"/>
    </row>
    <row r="89" spans="1:4" x14ac:dyDescent="0.2">
      <c r="A89" s="37" t="s">
        <v>377</v>
      </c>
      <c r="B89" s="37" t="s">
        <v>208</v>
      </c>
      <c r="C89" s="38">
        <v>76535</v>
      </c>
      <c r="D89" s="12"/>
    </row>
    <row r="90" spans="1:4" x14ac:dyDescent="0.2">
      <c r="A90" s="37" t="s">
        <v>384</v>
      </c>
      <c r="B90" s="37" t="s">
        <v>343</v>
      </c>
      <c r="C90" s="38">
        <v>76535</v>
      </c>
      <c r="D90" s="12"/>
    </row>
    <row r="91" spans="1:4" x14ac:dyDescent="0.2">
      <c r="A91" s="37" t="s">
        <v>384</v>
      </c>
      <c r="B91" s="37" t="s">
        <v>344</v>
      </c>
      <c r="C91" s="38">
        <v>76535</v>
      </c>
      <c r="D91" s="12"/>
    </row>
    <row r="92" spans="1:4" x14ac:dyDescent="0.2">
      <c r="A92" s="37" t="s">
        <v>382</v>
      </c>
      <c r="B92" s="37" t="s">
        <v>183</v>
      </c>
      <c r="C92" s="38">
        <v>76535</v>
      </c>
      <c r="D92" s="12"/>
    </row>
    <row r="93" spans="1:4" x14ac:dyDescent="0.2">
      <c r="A93" s="37" t="s">
        <v>386</v>
      </c>
      <c r="B93" s="37" t="s">
        <v>156</v>
      </c>
      <c r="C93" s="38">
        <v>76535</v>
      </c>
      <c r="D93" s="12"/>
    </row>
    <row r="94" spans="1:4" x14ac:dyDescent="0.2">
      <c r="A94" s="37" t="s">
        <v>378</v>
      </c>
      <c r="B94" s="37" t="s">
        <v>314</v>
      </c>
      <c r="C94" s="38">
        <v>75792</v>
      </c>
      <c r="D94" s="12"/>
    </row>
    <row r="95" spans="1:4" x14ac:dyDescent="0.2">
      <c r="A95" s="37" t="s">
        <v>383</v>
      </c>
      <c r="B95" s="37" t="s">
        <v>338</v>
      </c>
      <c r="C95" s="38">
        <v>75792</v>
      </c>
      <c r="D95" s="12"/>
    </row>
    <row r="96" spans="1:4" x14ac:dyDescent="0.2">
      <c r="A96" s="37" t="s">
        <v>379</v>
      </c>
      <c r="B96" s="37" t="s">
        <v>315</v>
      </c>
      <c r="C96" s="38">
        <v>75792</v>
      </c>
      <c r="D96" s="12"/>
    </row>
    <row r="97" spans="1:4" x14ac:dyDescent="0.2">
      <c r="A97" s="37" t="s">
        <v>377</v>
      </c>
      <c r="B97" s="37" t="s">
        <v>301</v>
      </c>
      <c r="C97" s="38">
        <v>74398</v>
      </c>
      <c r="D97" s="12"/>
    </row>
    <row r="98" spans="1:4" x14ac:dyDescent="0.2">
      <c r="A98" s="37" t="s">
        <v>385</v>
      </c>
      <c r="B98" s="37" t="s">
        <v>350</v>
      </c>
      <c r="C98" s="38">
        <v>73439</v>
      </c>
      <c r="D98" s="12"/>
    </row>
    <row r="99" spans="1:4" x14ac:dyDescent="0.2">
      <c r="A99" s="37" t="s">
        <v>378</v>
      </c>
      <c r="B99" s="37" t="s">
        <v>373</v>
      </c>
      <c r="C99" s="38">
        <v>73439</v>
      </c>
      <c r="D99" s="12"/>
    </row>
    <row r="100" spans="1:4" x14ac:dyDescent="0.2">
      <c r="A100" s="37" t="s">
        <v>379</v>
      </c>
      <c r="B100" s="37" t="s">
        <v>348</v>
      </c>
      <c r="C100" s="38">
        <v>73439</v>
      </c>
      <c r="D100" s="12"/>
    </row>
    <row r="101" spans="1:4" x14ac:dyDescent="0.2">
      <c r="A101" s="37" t="s">
        <v>389</v>
      </c>
      <c r="B101" s="37" t="s">
        <v>359</v>
      </c>
      <c r="C101" s="38">
        <v>73439</v>
      </c>
      <c r="D101" s="12"/>
    </row>
    <row r="102" spans="1:4" x14ac:dyDescent="0.2">
      <c r="A102" s="37" t="s">
        <v>381</v>
      </c>
      <c r="B102" s="37" t="s">
        <v>367</v>
      </c>
      <c r="C102" s="38">
        <v>72727</v>
      </c>
      <c r="D102" s="12"/>
    </row>
    <row r="103" spans="1:4" x14ac:dyDescent="0.2">
      <c r="A103" s="37" t="s">
        <v>381</v>
      </c>
      <c r="B103" s="37" t="s">
        <v>320</v>
      </c>
      <c r="C103" s="38">
        <v>72727</v>
      </c>
      <c r="D103" s="12"/>
    </row>
    <row r="104" spans="1:4" x14ac:dyDescent="0.2">
      <c r="A104" s="37" t="s">
        <v>378</v>
      </c>
      <c r="B104" s="37" t="s">
        <v>395</v>
      </c>
      <c r="C104" s="38">
        <v>72727</v>
      </c>
      <c r="D104" s="12"/>
    </row>
    <row r="105" spans="1:4" x14ac:dyDescent="0.2">
      <c r="A105" s="37" t="s">
        <v>383</v>
      </c>
      <c r="B105" s="37" t="s">
        <v>321</v>
      </c>
      <c r="C105" s="38">
        <v>72727</v>
      </c>
      <c r="D105" s="12"/>
    </row>
    <row r="106" spans="1:4" x14ac:dyDescent="0.2">
      <c r="A106" s="37" t="s">
        <v>382</v>
      </c>
      <c r="B106" s="37" t="s">
        <v>335</v>
      </c>
      <c r="C106" s="38">
        <v>72727</v>
      </c>
      <c r="D106" s="12"/>
    </row>
    <row r="107" spans="1:4" x14ac:dyDescent="0.2">
      <c r="A107" s="37" t="s">
        <v>381</v>
      </c>
      <c r="B107" s="37" t="s">
        <v>284</v>
      </c>
      <c r="C107" s="38">
        <v>71124</v>
      </c>
      <c r="D107" s="12"/>
    </row>
    <row r="108" spans="1:4" x14ac:dyDescent="0.2">
      <c r="A108" s="37" t="s">
        <v>387</v>
      </c>
      <c r="B108" s="37" t="s">
        <v>285</v>
      </c>
      <c r="C108" s="38">
        <v>71124</v>
      </c>
      <c r="D108" s="12"/>
    </row>
    <row r="109" spans="1:4" x14ac:dyDescent="0.2">
      <c r="A109" s="37" t="s">
        <v>383</v>
      </c>
      <c r="B109" s="37" t="s">
        <v>278</v>
      </c>
      <c r="C109" s="38">
        <v>71124</v>
      </c>
      <c r="D109" s="12"/>
    </row>
    <row r="110" spans="1:4" x14ac:dyDescent="0.2">
      <c r="A110" s="37" t="s">
        <v>382</v>
      </c>
      <c r="B110" s="37" t="s">
        <v>400</v>
      </c>
      <c r="C110" s="38">
        <v>70344</v>
      </c>
      <c r="D110" s="12"/>
    </row>
    <row r="111" spans="1:4" x14ac:dyDescent="0.2">
      <c r="A111" s="37" t="s">
        <v>384</v>
      </c>
      <c r="B111" s="37" t="s">
        <v>356</v>
      </c>
      <c r="C111" s="38">
        <v>69663</v>
      </c>
      <c r="D111" s="12"/>
    </row>
    <row r="112" spans="1:4" x14ac:dyDescent="0.2">
      <c r="A112" s="37" t="s">
        <v>386</v>
      </c>
      <c r="B112" s="37" t="s">
        <v>404</v>
      </c>
      <c r="C112" s="38">
        <v>69663</v>
      </c>
      <c r="D112" s="12"/>
    </row>
    <row r="113" spans="1:4" x14ac:dyDescent="0.2">
      <c r="A113" s="37" t="s">
        <v>377</v>
      </c>
      <c r="B113" s="37" t="s">
        <v>365</v>
      </c>
      <c r="C113" s="38">
        <v>67249</v>
      </c>
      <c r="D113" s="12"/>
    </row>
    <row r="114" spans="1:4" x14ac:dyDescent="0.2">
      <c r="A114" s="37" t="s">
        <v>382</v>
      </c>
      <c r="B114" s="37" t="s">
        <v>336</v>
      </c>
      <c r="C114" s="38">
        <v>67249</v>
      </c>
      <c r="D114" s="12"/>
    </row>
    <row r="115" spans="1:4" x14ac:dyDescent="0.2">
      <c r="A115" s="37" t="s">
        <v>386</v>
      </c>
      <c r="B115" s="37" t="s">
        <v>405</v>
      </c>
      <c r="C115" s="38">
        <v>67249</v>
      </c>
      <c r="D115" s="12"/>
    </row>
    <row r="116" spans="1:4" x14ac:dyDescent="0.2">
      <c r="A116" s="37" t="s">
        <v>379</v>
      </c>
      <c r="B116" s="37" t="s">
        <v>398</v>
      </c>
      <c r="C116" s="38">
        <v>66597</v>
      </c>
      <c r="D116" s="12"/>
    </row>
    <row r="117" spans="1:4" x14ac:dyDescent="0.2">
      <c r="A117" s="37" t="s">
        <v>384</v>
      </c>
      <c r="B117" s="37" t="s">
        <v>297</v>
      </c>
      <c r="C117" s="38">
        <v>64767</v>
      </c>
      <c r="D117" s="12"/>
    </row>
    <row r="118" spans="1:4" x14ac:dyDescent="0.2">
      <c r="A118" s="37" t="s">
        <v>381</v>
      </c>
      <c r="B118" s="37" t="s">
        <v>304</v>
      </c>
      <c r="C118" s="38">
        <v>64154</v>
      </c>
      <c r="D118" s="12"/>
    </row>
    <row r="119" spans="1:4" x14ac:dyDescent="0.2">
      <c r="A119" s="37" t="s">
        <v>378</v>
      </c>
      <c r="B119" s="37" t="s">
        <v>396</v>
      </c>
      <c r="C119" s="38">
        <v>64154</v>
      </c>
      <c r="D119" s="12"/>
    </row>
    <row r="120" spans="1:4" x14ac:dyDescent="0.2">
      <c r="A120" s="37" t="s">
        <v>378</v>
      </c>
      <c r="B120" s="37" t="s">
        <v>353</v>
      </c>
      <c r="C120" s="38">
        <v>64154</v>
      </c>
      <c r="D120" s="12"/>
    </row>
    <row r="121" spans="1:4" x14ac:dyDescent="0.2">
      <c r="A121" s="37" t="s">
        <v>383</v>
      </c>
      <c r="B121" s="37" t="s">
        <v>397</v>
      </c>
      <c r="C121" s="38">
        <v>64154</v>
      </c>
      <c r="D121" s="12"/>
    </row>
    <row r="122" spans="1:4" x14ac:dyDescent="0.2">
      <c r="A122" s="37" t="s">
        <v>379</v>
      </c>
      <c r="B122" s="37" t="s">
        <v>223</v>
      </c>
      <c r="C122" s="38">
        <v>64154</v>
      </c>
      <c r="D122" s="12"/>
    </row>
    <row r="123" spans="1:4" x14ac:dyDescent="0.2">
      <c r="A123" s="37" t="s">
        <v>382</v>
      </c>
      <c r="B123" s="37" t="s">
        <v>401</v>
      </c>
      <c r="C123" s="38">
        <v>64154</v>
      </c>
      <c r="D123" s="12"/>
    </row>
    <row r="124" spans="1:4" x14ac:dyDescent="0.2">
      <c r="A124" s="37" t="s">
        <v>380</v>
      </c>
      <c r="B124" s="37" t="s">
        <v>224</v>
      </c>
      <c r="C124" s="38">
        <v>64154</v>
      </c>
      <c r="D124" s="12"/>
    </row>
    <row r="125" spans="1:4" x14ac:dyDescent="0.2">
      <c r="A125" s="37" t="s">
        <v>380</v>
      </c>
      <c r="B125" s="37" t="s">
        <v>254</v>
      </c>
      <c r="C125" s="38">
        <v>64154</v>
      </c>
      <c r="D125" s="12"/>
    </row>
    <row r="126" spans="1:4" x14ac:dyDescent="0.2">
      <c r="A126" s="37" t="s">
        <v>389</v>
      </c>
      <c r="B126" s="37" t="s">
        <v>334</v>
      </c>
      <c r="C126" s="38">
        <v>64154</v>
      </c>
      <c r="D126" s="12"/>
    </row>
    <row r="127" spans="1:4" x14ac:dyDescent="0.2">
      <c r="A127" s="37" t="s">
        <v>389</v>
      </c>
      <c r="B127" s="37" t="s">
        <v>375</v>
      </c>
      <c r="C127" s="38">
        <v>64154</v>
      </c>
      <c r="D127" s="12"/>
    </row>
    <row r="128" spans="1:4" x14ac:dyDescent="0.2">
      <c r="A128" s="37" t="s">
        <v>389</v>
      </c>
      <c r="B128" s="37" t="s">
        <v>283</v>
      </c>
      <c r="C128" s="38">
        <v>64154</v>
      </c>
      <c r="D128" s="12"/>
    </row>
    <row r="129" spans="1:4" x14ac:dyDescent="0.2">
      <c r="A129" s="37" t="s">
        <v>389</v>
      </c>
      <c r="B129" s="37" t="s">
        <v>369</v>
      </c>
      <c r="C129" s="38">
        <v>64154</v>
      </c>
      <c r="D129" s="12"/>
    </row>
    <row r="130" spans="1:4" x14ac:dyDescent="0.2">
      <c r="A130" s="37" t="s">
        <v>389</v>
      </c>
      <c r="B130" s="37" t="s">
        <v>347</v>
      </c>
      <c r="C130" s="38">
        <v>64154</v>
      </c>
      <c r="D130" s="12"/>
    </row>
    <row r="131" spans="1:4" x14ac:dyDescent="0.2">
      <c r="A131" s="12" t="s">
        <v>386</v>
      </c>
      <c r="B131" s="12" t="s">
        <v>248</v>
      </c>
      <c r="C131" s="36">
        <v>61380</v>
      </c>
      <c r="D131" s="12"/>
    </row>
    <row r="132" spans="1:4" x14ac:dyDescent="0.2">
      <c r="A132" s="12" t="s">
        <v>387</v>
      </c>
      <c r="B132" s="12" t="s">
        <v>292</v>
      </c>
      <c r="C132" s="36">
        <v>50180</v>
      </c>
      <c r="D132" s="12"/>
    </row>
    <row r="133" spans="1:4" x14ac:dyDescent="0.2">
      <c r="A133" s="12" t="s">
        <v>380</v>
      </c>
      <c r="B133" s="12" t="s">
        <v>402</v>
      </c>
      <c r="C133" s="36">
        <v>45098</v>
      </c>
      <c r="D133" s="12"/>
    </row>
    <row r="134" spans="1:4" x14ac:dyDescent="0.2">
      <c r="A134" s="12" t="s">
        <v>381</v>
      </c>
      <c r="B134" s="12" t="s">
        <v>271</v>
      </c>
      <c r="C134" s="36">
        <v>36841</v>
      </c>
      <c r="D134" s="12"/>
    </row>
    <row r="135" spans="1:4" x14ac:dyDescent="0.2">
      <c r="A135" s="12" t="s">
        <v>386</v>
      </c>
      <c r="B135" s="12" t="s">
        <v>139</v>
      </c>
      <c r="C135" s="36">
        <v>23491</v>
      </c>
      <c r="D135" s="12"/>
    </row>
    <row r="136" spans="1:4" x14ac:dyDescent="0.2">
      <c r="A136" s="12" t="s">
        <v>384</v>
      </c>
      <c r="B136" s="12" t="s">
        <v>225</v>
      </c>
      <c r="C136" s="36">
        <v>21218</v>
      </c>
      <c r="D136" s="12"/>
    </row>
    <row r="137" spans="1:4" x14ac:dyDescent="0.2">
      <c r="A137" s="12" t="s">
        <v>380</v>
      </c>
      <c r="B137" s="12" t="s">
        <v>174</v>
      </c>
      <c r="C137" s="36">
        <v>19702</v>
      </c>
      <c r="D137" s="12"/>
    </row>
    <row r="138" spans="1:4" x14ac:dyDescent="0.2">
      <c r="A138" s="12" t="s">
        <v>382</v>
      </c>
      <c r="B138" s="12" t="s">
        <v>326</v>
      </c>
      <c r="C138" s="36">
        <v>17150</v>
      </c>
      <c r="D138" s="12"/>
    </row>
    <row r="139" spans="1:4" x14ac:dyDescent="0.2">
      <c r="A139" s="12" t="s">
        <v>387</v>
      </c>
      <c r="B139" s="12" t="s">
        <v>393</v>
      </c>
      <c r="C139" s="36">
        <v>13339</v>
      </c>
      <c r="D139" s="12"/>
    </row>
    <row r="140" spans="1:4" x14ac:dyDescent="0.2">
      <c r="A140" s="12" t="s">
        <v>384</v>
      </c>
      <c r="B140" s="12" t="s">
        <v>81</v>
      </c>
      <c r="C140" s="36">
        <v>9851</v>
      </c>
      <c r="D140" s="12"/>
    </row>
    <row r="141" spans="1:4" x14ac:dyDescent="0.2">
      <c r="A141" s="12" t="s">
        <v>380</v>
      </c>
      <c r="B141" s="12" t="s">
        <v>403</v>
      </c>
      <c r="C141" s="36">
        <v>8893</v>
      </c>
      <c r="D141" s="12"/>
    </row>
    <row r="142" spans="1:4" x14ac:dyDescent="0.2">
      <c r="A142" s="12" t="s">
        <v>377</v>
      </c>
      <c r="B142" s="12" t="s">
        <v>276</v>
      </c>
      <c r="C142" s="36">
        <v>2541</v>
      </c>
      <c r="D142" s="12"/>
    </row>
    <row r="143" spans="1:4" x14ac:dyDescent="0.2">
      <c r="A143" s="12" t="s">
        <v>385</v>
      </c>
      <c r="B143" s="12" t="s">
        <v>162</v>
      </c>
      <c r="C143" s="36">
        <v>1516</v>
      </c>
      <c r="D143" s="12"/>
    </row>
    <row r="144" spans="1:4" x14ac:dyDescent="0.2">
      <c r="A144" s="12" t="s">
        <v>381</v>
      </c>
      <c r="B144" s="12" t="s">
        <v>392</v>
      </c>
      <c r="C144" s="36">
        <v>1270</v>
      </c>
      <c r="D144" s="12"/>
    </row>
    <row r="145" spans="1:4" x14ac:dyDescent="0.2">
      <c r="A145" s="12" t="s">
        <v>379</v>
      </c>
      <c r="B145" s="12" t="s">
        <v>399</v>
      </c>
      <c r="C145" s="36">
        <v>635</v>
      </c>
      <c r="D145" s="12"/>
    </row>
    <row r="146" spans="1:4" x14ac:dyDescent="0.2">
      <c r="A146" s="12" t="s">
        <v>380</v>
      </c>
      <c r="B146" s="12" t="s">
        <v>303</v>
      </c>
      <c r="C146" s="36">
        <v>635</v>
      </c>
      <c r="D146" s="12"/>
    </row>
  </sheetData>
  <sortState xmlns:xlrd2="http://schemas.microsoft.com/office/spreadsheetml/2017/richdata2" ref="A2:D165">
    <sortCondition descending="1" ref="C1:C16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9A44-3C14-774A-99A4-8EDFDD2FA45D}">
  <dimension ref="A1:E164"/>
  <sheetViews>
    <sheetView topLeftCell="A147" zoomScale="125" zoomScaleNormal="100" workbookViewId="0">
      <selection activeCell="E7" sqref="E7"/>
    </sheetView>
  </sheetViews>
  <sheetFormatPr baseColWidth="10" defaultRowHeight="16" x14ac:dyDescent="0.2"/>
  <cols>
    <col min="1" max="1" width="32.5" customWidth="1"/>
    <col min="2" max="2" width="15.5" style="27" customWidth="1"/>
    <col min="3" max="4" width="18.83203125" customWidth="1"/>
    <col min="5" max="5" width="76.1640625" bestFit="1" customWidth="1"/>
  </cols>
  <sheetData>
    <row r="1" spans="1:5" ht="34" x14ac:dyDescent="0.2">
      <c r="A1" s="7" t="s">
        <v>310</v>
      </c>
      <c r="B1" s="48" t="s">
        <v>204</v>
      </c>
      <c r="C1" s="7" t="s">
        <v>205</v>
      </c>
      <c r="D1" s="6" t="s">
        <v>311</v>
      </c>
      <c r="E1" s="8" t="s">
        <v>312</v>
      </c>
    </row>
    <row r="2" spans="1:5" ht="16" customHeight="1" x14ac:dyDescent="0.2">
      <c r="A2" s="28" t="s">
        <v>138</v>
      </c>
      <c r="B2" s="29" t="s">
        <v>383</v>
      </c>
      <c r="C2" s="30">
        <v>269244</v>
      </c>
      <c r="D2" s="31">
        <f t="shared" ref="D2:D33" si="0">C2*2.2</f>
        <v>592336.80000000005</v>
      </c>
    </row>
    <row r="3" spans="1:5" ht="17" x14ac:dyDescent="0.2">
      <c r="A3" s="28" t="s">
        <v>55</v>
      </c>
      <c r="B3" s="32" t="s">
        <v>377</v>
      </c>
      <c r="C3" s="30">
        <v>249032</v>
      </c>
      <c r="D3" s="31">
        <f t="shared" si="0"/>
        <v>547870.4</v>
      </c>
      <c r="E3" s="9">
        <f>AVERAGE(C2:C164)</f>
        <v>103772.59509202454</v>
      </c>
    </row>
    <row r="4" spans="1:5" ht="17" x14ac:dyDescent="0.2">
      <c r="A4" s="28" t="s">
        <v>159</v>
      </c>
      <c r="B4" s="33" t="s">
        <v>378</v>
      </c>
      <c r="C4" s="30">
        <v>249032</v>
      </c>
      <c r="D4" s="31">
        <f t="shared" si="0"/>
        <v>547870.4</v>
      </c>
    </row>
    <row r="5" spans="1:5" ht="17" x14ac:dyDescent="0.2">
      <c r="A5" s="28" t="s">
        <v>127</v>
      </c>
      <c r="B5" s="29" t="s">
        <v>380</v>
      </c>
      <c r="C5" s="30">
        <v>248134</v>
      </c>
      <c r="D5" s="31">
        <f t="shared" si="0"/>
        <v>545894.80000000005</v>
      </c>
    </row>
    <row r="6" spans="1:5" ht="17" x14ac:dyDescent="0.2">
      <c r="A6" s="28" t="s">
        <v>139</v>
      </c>
      <c r="B6" s="29" t="s">
        <v>386</v>
      </c>
      <c r="C6" s="30">
        <v>225000</v>
      </c>
      <c r="D6" s="31">
        <f t="shared" si="0"/>
        <v>495000.00000000006</v>
      </c>
    </row>
    <row r="7" spans="1:5" ht="17" x14ac:dyDescent="0.2">
      <c r="A7" s="28" t="s">
        <v>154</v>
      </c>
      <c r="B7" s="29" t="s">
        <v>385</v>
      </c>
      <c r="C7" s="30">
        <v>223000</v>
      </c>
      <c r="D7" s="31">
        <f t="shared" si="0"/>
        <v>490600.00000000006</v>
      </c>
    </row>
    <row r="8" spans="1:5" ht="17" x14ac:dyDescent="0.2">
      <c r="A8" s="28" t="s">
        <v>124</v>
      </c>
      <c r="B8" s="29" t="s">
        <v>382</v>
      </c>
      <c r="C8" s="30">
        <v>222400</v>
      </c>
      <c r="D8" s="31">
        <f t="shared" si="0"/>
        <v>489280.00000000006</v>
      </c>
    </row>
    <row r="9" spans="1:5" ht="17" x14ac:dyDescent="0.2">
      <c r="A9" s="28" t="s">
        <v>213</v>
      </c>
      <c r="B9" s="29" t="s">
        <v>382</v>
      </c>
      <c r="C9" s="30">
        <v>222060</v>
      </c>
      <c r="D9" s="31">
        <f t="shared" si="0"/>
        <v>488532.00000000006</v>
      </c>
    </row>
    <row r="10" spans="1:5" ht="17" x14ac:dyDescent="0.2">
      <c r="A10" s="28" t="s">
        <v>219</v>
      </c>
      <c r="B10" s="29" t="s">
        <v>380</v>
      </c>
      <c r="C10" s="30">
        <v>215000</v>
      </c>
      <c r="D10" s="31">
        <f t="shared" si="0"/>
        <v>473000.00000000006</v>
      </c>
    </row>
    <row r="11" spans="1:5" ht="17" x14ac:dyDescent="0.2">
      <c r="A11" s="28" t="s">
        <v>82</v>
      </c>
      <c r="B11" s="29" t="s">
        <v>380</v>
      </c>
      <c r="C11" s="30">
        <v>215000</v>
      </c>
      <c r="D11" s="31">
        <f t="shared" si="0"/>
        <v>473000.00000000006</v>
      </c>
    </row>
    <row r="12" spans="1:5" ht="17" x14ac:dyDescent="0.2">
      <c r="A12" s="28" t="s">
        <v>72</v>
      </c>
      <c r="B12" s="29" t="s">
        <v>381</v>
      </c>
      <c r="C12" s="30">
        <v>214466</v>
      </c>
      <c r="D12" s="31">
        <f t="shared" si="0"/>
        <v>471825.2</v>
      </c>
    </row>
    <row r="13" spans="1:5" ht="16" customHeight="1" x14ac:dyDescent="0.2">
      <c r="A13" s="28" t="s">
        <v>142</v>
      </c>
      <c r="B13" s="29" t="s">
        <v>381</v>
      </c>
      <c r="C13" s="30">
        <v>214466</v>
      </c>
      <c r="D13" s="31">
        <f t="shared" si="0"/>
        <v>471825.2</v>
      </c>
    </row>
    <row r="14" spans="1:5" ht="17" x14ac:dyDescent="0.2">
      <c r="A14" s="28" t="s">
        <v>75</v>
      </c>
      <c r="B14" s="29" t="s">
        <v>383</v>
      </c>
      <c r="C14" s="30">
        <v>214466</v>
      </c>
      <c r="D14" s="31">
        <f t="shared" si="0"/>
        <v>471825.2</v>
      </c>
    </row>
    <row r="15" spans="1:5" ht="17" x14ac:dyDescent="0.2">
      <c r="A15" s="28" t="s">
        <v>51</v>
      </c>
      <c r="B15" s="29" t="s">
        <v>386</v>
      </c>
      <c r="C15" s="30">
        <v>214466</v>
      </c>
      <c r="D15" s="31">
        <f t="shared" si="0"/>
        <v>471825.2</v>
      </c>
    </row>
    <row r="16" spans="1:5" ht="17" x14ac:dyDescent="0.2">
      <c r="A16" s="28" t="s">
        <v>158</v>
      </c>
      <c r="B16" s="29" t="s">
        <v>379</v>
      </c>
      <c r="C16" s="30">
        <v>214284</v>
      </c>
      <c r="D16" s="31">
        <f t="shared" si="0"/>
        <v>471424.80000000005</v>
      </c>
    </row>
    <row r="17" spans="1:4" ht="17" x14ac:dyDescent="0.2">
      <c r="A17" s="28" t="s">
        <v>181</v>
      </c>
      <c r="B17" s="29" t="s">
        <v>387</v>
      </c>
      <c r="C17" s="30">
        <v>210000</v>
      </c>
      <c r="D17" s="31">
        <f t="shared" si="0"/>
        <v>462000.00000000006</v>
      </c>
    </row>
    <row r="18" spans="1:4" ht="17" x14ac:dyDescent="0.2">
      <c r="A18" s="28" t="s">
        <v>128</v>
      </c>
      <c r="B18" s="29" t="s">
        <v>382</v>
      </c>
      <c r="C18" s="30">
        <v>209000</v>
      </c>
      <c r="D18" s="31">
        <f t="shared" si="0"/>
        <v>459800.00000000006</v>
      </c>
    </row>
    <row r="19" spans="1:4" ht="17" x14ac:dyDescent="0.2">
      <c r="A19" s="28" t="s">
        <v>111</v>
      </c>
      <c r="B19" s="29" t="s">
        <v>389</v>
      </c>
      <c r="C19" s="30">
        <v>205908</v>
      </c>
      <c r="D19" s="31">
        <f t="shared" si="0"/>
        <v>452997.60000000003</v>
      </c>
    </row>
    <row r="20" spans="1:4" ht="17" x14ac:dyDescent="0.2">
      <c r="A20" s="28" t="s">
        <v>77</v>
      </c>
      <c r="B20" s="29" t="s">
        <v>379</v>
      </c>
      <c r="C20" s="30">
        <v>205000</v>
      </c>
      <c r="D20" s="31">
        <f t="shared" si="0"/>
        <v>451000.00000000006</v>
      </c>
    </row>
    <row r="21" spans="1:4" ht="17" x14ac:dyDescent="0.2">
      <c r="A21" s="28" t="s">
        <v>175</v>
      </c>
      <c r="B21" s="33" t="s">
        <v>378</v>
      </c>
      <c r="C21" s="30">
        <v>203000</v>
      </c>
      <c r="D21" s="31">
        <f t="shared" si="0"/>
        <v>446600.00000000006</v>
      </c>
    </row>
    <row r="22" spans="1:4" ht="17" x14ac:dyDescent="0.2">
      <c r="A22" s="28" t="s">
        <v>73</v>
      </c>
      <c r="B22" s="29" t="s">
        <v>384</v>
      </c>
      <c r="C22" s="30">
        <v>202000</v>
      </c>
      <c r="D22" s="31">
        <f t="shared" si="0"/>
        <v>444400.00000000006</v>
      </c>
    </row>
    <row r="23" spans="1:4" ht="17" x14ac:dyDescent="0.2">
      <c r="A23" s="28" t="s">
        <v>132</v>
      </c>
      <c r="B23" s="29" t="s">
        <v>384</v>
      </c>
      <c r="C23" s="30">
        <v>202000</v>
      </c>
      <c r="D23" s="31">
        <f t="shared" si="0"/>
        <v>444400.00000000006</v>
      </c>
    </row>
    <row r="24" spans="1:4" ht="17" x14ac:dyDescent="0.2">
      <c r="A24" s="28" t="s">
        <v>140</v>
      </c>
      <c r="B24" s="32" t="s">
        <v>377</v>
      </c>
      <c r="C24" s="30">
        <v>200000</v>
      </c>
      <c r="D24" s="31">
        <f t="shared" si="0"/>
        <v>440000.00000000006</v>
      </c>
    </row>
    <row r="25" spans="1:4" ht="17" x14ac:dyDescent="0.2">
      <c r="A25" s="28" t="s">
        <v>234</v>
      </c>
      <c r="B25" s="29" t="s">
        <v>379</v>
      </c>
      <c r="C25" s="30">
        <v>200000</v>
      </c>
      <c r="D25" s="31">
        <f t="shared" si="0"/>
        <v>440000.00000000006</v>
      </c>
    </row>
    <row r="26" spans="1:4" ht="17" x14ac:dyDescent="0.2">
      <c r="A26" s="28" t="s">
        <v>69</v>
      </c>
      <c r="B26" s="29" t="s">
        <v>382</v>
      </c>
      <c r="C26" s="30">
        <v>200000</v>
      </c>
      <c r="D26" s="31">
        <f t="shared" si="0"/>
        <v>440000.00000000006</v>
      </c>
    </row>
    <row r="27" spans="1:4" ht="17" x14ac:dyDescent="0.2">
      <c r="A27" s="28" t="s">
        <v>65</v>
      </c>
      <c r="B27" s="29" t="s">
        <v>388</v>
      </c>
      <c r="C27" s="30">
        <v>200000</v>
      </c>
      <c r="D27" s="31">
        <f t="shared" si="0"/>
        <v>440000.00000000006</v>
      </c>
    </row>
    <row r="28" spans="1:4" ht="16" customHeight="1" x14ac:dyDescent="0.2">
      <c r="A28" s="28" t="s">
        <v>71</v>
      </c>
      <c r="B28" s="32" t="s">
        <v>377</v>
      </c>
      <c r="C28" s="30">
        <v>196267</v>
      </c>
      <c r="D28" s="31">
        <f t="shared" si="0"/>
        <v>431787.4</v>
      </c>
    </row>
    <row r="29" spans="1:4" ht="17" x14ac:dyDescent="0.2">
      <c r="A29" s="28" t="s">
        <v>272</v>
      </c>
      <c r="B29" s="29" t="s">
        <v>384</v>
      </c>
      <c r="C29" s="30">
        <v>195000</v>
      </c>
      <c r="D29" s="31">
        <f t="shared" si="0"/>
        <v>429000.00000000006</v>
      </c>
    </row>
    <row r="30" spans="1:4" ht="17" x14ac:dyDescent="0.2">
      <c r="A30" s="28" t="s">
        <v>79</v>
      </c>
      <c r="B30" s="29" t="s">
        <v>386</v>
      </c>
      <c r="C30" s="30">
        <v>195000</v>
      </c>
      <c r="D30" s="31">
        <f t="shared" si="0"/>
        <v>429000.00000000006</v>
      </c>
    </row>
    <row r="31" spans="1:4" ht="17" x14ac:dyDescent="0.2">
      <c r="A31" s="28" t="s">
        <v>143</v>
      </c>
      <c r="B31" s="29" t="s">
        <v>386</v>
      </c>
      <c r="C31" s="30">
        <v>195000</v>
      </c>
      <c r="D31" s="31">
        <f t="shared" si="0"/>
        <v>429000.00000000006</v>
      </c>
    </row>
    <row r="32" spans="1:4" ht="17" x14ac:dyDescent="0.2">
      <c r="A32" s="28" t="s">
        <v>155</v>
      </c>
      <c r="B32" s="29" t="s">
        <v>381</v>
      </c>
      <c r="C32" s="30">
        <v>190000</v>
      </c>
      <c r="D32" s="31">
        <f t="shared" si="0"/>
        <v>418000.00000000006</v>
      </c>
    </row>
    <row r="33" spans="1:4" ht="17" x14ac:dyDescent="0.2">
      <c r="A33" s="28" t="s">
        <v>131</v>
      </c>
      <c r="B33" s="29" t="s">
        <v>381</v>
      </c>
      <c r="C33" s="30">
        <v>190000</v>
      </c>
      <c r="D33" s="31">
        <f t="shared" si="0"/>
        <v>418000.00000000006</v>
      </c>
    </row>
    <row r="34" spans="1:4" ht="17" x14ac:dyDescent="0.2">
      <c r="A34" s="28" t="s">
        <v>171</v>
      </c>
      <c r="B34" s="29" t="s">
        <v>386</v>
      </c>
      <c r="C34" s="30">
        <v>186000</v>
      </c>
      <c r="D34" s="31">
        <f t="shared" ref="D34:D65" si="1">C34*2.2</f>
        <v>409200.00000000006</v>
      </c>
    </row>
    <row r="35" spans="1:4" ht="17" x14ac:dyDescent="0.2">
      <c r="A35" s="28" t="s">
        <v>63</v>
      </c>
      <c r="B35" s="29" t="s">
        <v>385</v>
      </c>
      <c r="C35" s="30">
        <v>185000</v>
      </c>
      <c r="D35" s="31">
        <f t="shared" si="1"/>
        <v>407000.00000000006</v>
      </c>
    </row>
    <row r="36" spans="1:4" ht="17" x14ac:dyDescent="0.2">
      <c r="A36" s="28" t="s">
        <v>130</v>
      </c>
      <c r="B36" s="29" t="s">
        <v>379</v>
      </c>
      <c r="C36" s="30">
        <v>180000</v>
      </c>
      <c r="D36" s="31">
        <f t="shared" si="1"/>
        <v>396000.00000000006</v>
      </c>
    </row>
    <row r="37" spans="1:4" ht="17" x14ac:dyDescent="0.2">
      <c r="A37" s="28" t="s">
        <v>50</v>
      </c>
      <c r="B37" s="29" t="s">
        <v>387</v>
      </c>
      <c r="C37" s="30">
        <v>170000</v>
      </c>
      <c r="D37" s="31">
        <f t="shared" si="1"/>
        <v>374000.00000000006</v>
      </c>
    </row>
    <row r="38" spans="1:4" ht="17" x14ac:dyDescent="0.2">
      <c r="A38" s="28" t="s">
        <v>70</v>
      </c>
      <c r="B38" s="29" t="s">
        <v>389</v>
      </c>
      <c r="C38" s="30">
        <v>170000</v>
      </c>
      <c r="D38" s="31">
        <f t="shared" si="1"/>
        <v>374000.00000000006</v>
      </c>
    </row>
    <row r="39" spans="1:4" ht="17" x14ac:dyDescent="0.2">
      <c r="A39" s="28" t="s">
        <v>148</v>
      </c>
      <c r="B39" s="32" t="s">
        <v>377</v>
      </c>
      <c r="C39" s="30">
        <v>169950</v>
      </c>
      <c r="D39" s="31">
        <f t="shared" si="1"/>
        <v>373890.00000000006</v>
      </c>
    </row>
    <row r="40" spans="1:4" ht="16" customHeight="1" x14ac:dyDescent="0.2">
      <c r="A40" s="28" t="s">
        <v>113</v>
      </c>
      <c r="B40" s="29" t="s">
        <v>385</v>
      </c>
      <c r="C40" s="30">
        <v>160000</v>
      </c>
      <c r="D40" s="31">
        <f t="shared" si="1"/>
        <v>352000</v>
      </c>
    </row>
    <row r="41" spans="1:4" ht="17" x14ac:dyDescent="0.2">
      <c r="A41" s="28" t="s">
        <v>160</v>
      </c>
      <c r="B41" s="29" t="s">
        <v>379</v>
      </c>
      <c r="C41" s="30">
        <v>150000</v>
      </c>
      <c r="D41" s="31">
        <f t="shared" si="1"/>
        <v>330000</v>
      </c>
    </row>
    <row r="42" spans="1:4" ht="17" x14ac:dyDescent="0.2">
      <c r="A42" s="28" t="s">
        <v>141</v>
      </c>
      <c r="B42" s="29" t="s">
        <v>381</v>
      </c>
      <c r="C42" s="30">
        <v>150000</v>
      </c>
      <c r="D42" s="31">
        <f t="shared" si="1"/>
        <v>330000</v>
      </c>
    </row>
    <row r="43" spans="1:4" ht="17" x14ac:dyDescent="0.2">
      <c r="A43" s="28" t="s">
        <v>144</v>
      </c>
      <c r="B43" s="29" t="s">
        <v>381</v>
      </c>
      <c r="C43" s="30">
        <v>150000</v>
      </c>
      <c r="D43" s="31">
        <f t="shared" si="1"/>
        <v>330000</v>
      </c>
    </row>
    <row r="44" spans="1:4" ht="17" x14ac:dyDescent="0.2">
      <c r="A44" s="28" t="s">
        <v>167</v>
      </c>
      <c r="B44" s="29" t="s">
        <v>385</v>
      </c>
      <c r="C44" s="30">
        <v>145000</v>
      </c>
      <c r="D44" s="31">
        <f t="shared" si="1"/>
        <v>319000</v>
      </c>
    </row>
    <row r="45" spans="1:4" ht="17" x14ac:dyDescent="0.2">
      <c r="A45" s="28" t="s">
        <v>298</v>
      </c>
      <c r="B45" s="29" t="s">
        <v>384</v>
      </c>
      <c r="C45" s="30">
        <v>137500</v>
      </c>
      <c r="D45" s="31">
        <f t="shared" si="1"/>
        <v>302500</v>
      </c>
    </row>
    <row r="46" spans="1:4" ht="17" x14ac:dyDescent="0.2">
      <c r="A46" s="28" t="s">
        <v>196</v>
      </c>
      <c r="B46" s="29" t="s">
        <v>379</v>
      </c>
      <c r="C46" s="30">
        <v>135000</v>
      </c>
      <c r="D46" s="31">
        <f t="shared" si="1"/>
        <v>297000</v>
      </c>
    </row>
    <row r="47" spans="1:4" ht="17" x14ac:dyDescent="0.2">
      <c r="A47" s="28" t="s">
        <v>109</v>
      </c>
      <c r="B47" s="29" t="s">
        <v>388</v>
      </c>
      <c r="C47" s="30">
        <v>132000</v>
      </c>
      <c r="D47" s="31">
        <f t="shared" si="1"/>
        <v>290400</v>
      </c>
    </row>
    <row r="48" spans="1:4" ht="17" x14ac:dyDescent="0.2">
      <c r="A48" s="28" t="s">
        <v>226</v>
      </c>
      <c r="B48" s="29" t="s">
        <v>379</v>
      </c>
      <c r="C48" s="30">
        <v>125000</v>
      </c>
      <c r="D48" s="31">
        <f t="shared" si="1"/>
        <v>275000</v>
      </c>
    </row>
    <row r="49" spans="1:4" ht="17" x14ac:dyDescent="0.2">
      <c r="A49" s="28" t="s">
        <v>153</v>
      </c>
      <c r="B49" s="29" t="s">
        <v>380</v>
      </c>
      <c r="C49" s="30">
        <v>125000</v>
      </c>
      <c r="D49" s="31">
        <f t="shared" si="1"/>
        <v>275000</v>
      </c>
    </row>
    <row r="50" spans="1:4" ht="17" x14ac:dyDescent="0.2">
      <c r="A50" s="28" t="s">
        <v>258</v>
      </c>
      <c r="B50" s="29" t="s">
        <v>385</v>
      </c>
      <c r="C50" s="30">
        <v>125000</v>
      </c>
      <c r="D50" s="31">
        <f t="shared" si="1"/>
        <v>275000</v>
      </c>
    </row>
    <row r="51" spans="1:4" ht="17" x14ac:dyDescent="0.2">
      <c r="A51" s="28" t="s">
        <v>157</v>
      </c>
      <c r="B51" s="29" t="s">
        <v>380</v>
      </c>
      <c r="C51" s="30">
        <v>120000</v>
      </c>
      <c r="D51" s="31">
        <f t="shared" si="1"/>
        <v>264000</v>
      </c>
    </row>
    <row r="52" spans="1:4" ht="16" customHeight="1" x14ac:dyDescent="0.2">
      <c r="A52" s="28" t="s">
        <v>233</v>
      </c>
      <c r="B52" s="29" t="s">
        <v>384</v>
      </c>
      <c r="C52" s="30">
        <v>116331</v>
      </c>
      <c r="D52" s="31">
        <f t="shared" si="1"/>
        <v>255928.2</v>
      </c>
    </row>
    <row r="53" spans="1:4" ht="17" x14ac:dyDescent="0.2">
      <c r="A53" s="28" t="s">
        <v>254</v>
      </c>
      <c r="B53" s="29" t="s">
        <v>380</v>
      </c>
      <c r="C53" s="30">
        <v>116079</v>
      </c>
      <c r="D53" s="31">
        <f t="shared" si="1"/>
        <v>255373.80000000002</v>
      </c>
    </row>
    <row r="54" spans="1:4" ht="17" x14ac:dyDescent="0.2">
      <c r="A54" s="28" t="s">
        <v>174</v>
      </c>
      <c r="B54" s="29" t="s">
        <v>388</v>
      </c>
      <c r="C54" s="30">
        <v>110000</v>
      </c>
      <c r="D54" s="31">
        <f t="shared" si="1"/>
        <v>242000.00000000003</v>
      </c>
    </row>
    <row r="55" spans="1:4" ht="17" x14ac:dyDescent="0.2">
      <c r="A55" s="28" t="s">
        <v>292</v>
      </c>
      <c r="B55" s="29" t="s">
        <v>388</v>
      </c>
      <c r="C55" s="30">
        <v>103831</v>
      </c>
      <c r="D55" s="31">
        <f t="shared" si="1"/>
        <v>228428.2</v>
      </c>
    </row>
    <row r="56" spans="1:4" ht="17" x14ac:dyDescent="0.2">
      <c r="A56" s="28" t="s">
        <v>108</v>
      </c>
      <c r="B56" s="32" t="s">
        <v>377</v>
      </c>
      <c r="C56" s="30">
        <v>103000</v>
      </c>
      <c r="D56" s="31">
        <f t="shared" si="1"/>
        <v>226600.00000000003</v>
      </c>
    </row>
    <row r="57" spans="1:4" ht="17" x14ac:dyDescent="0.2">
      <c r="A57" s="28" t="s">
        <v>221</v>
      </c>
      <c r="B57" s="33" t="s">
        <v>378</v>
      </c>
      <c r="C57" s="30">
        <v>100013</v>
      </c>
      <c r="D57" s="31">
        <f t="shared" si="1"/>
        <v>220028.6</v>
      </c>
    </row>
    <row r="58" spans="1:4" ht="17" x14ac:dyDescent="0.2">
      <c r="A58" s="28" t="s">
        <v>179</v>
      </c>
      <c r="B58" s="29" t="s">
        <v>383</v>
      </c>
      <c r="C58" s="30">
        <v>100000</v>
      </c>
      <c r="D58" s="31">
        <f t="shared" si="1"/>
        <v>220000.00000000003</v>
      </c>
    </row>
    <row r="59" spans="1:4" ht="17" x14ac:dyDescent="0.2">
      <c r="A59" s="28" t="s">
        <v>96</v>
      </c>
      <c r="B59" s="29" t="s">
        <v>383</v>
      </c>
      <c r="C59" s="30">
        <v>100000</v>
      </c>
      <c r="D59" s="31">
        <f t="shared" si="1"/>
        <v>220000.00000000003</v>
      </c>
    </row>
    <row r="60" spans="1:4" ht="17" x14ac:dyDescent="0.2">
      <c r="A60" s="28" t="s">
        <v>84</v>
      </c>
      <c r="B60" s="29" t="s">
        <v>385</v>
      </c>
      <c r="C60" s="30">
        <v>100000</v>
      </c>
      <c r="D60" s="31">
        <f t="shared" si="1"/>
        <v>220000.00000000003</v>
      </c>
    </row>
    <row r="61" spans="1:4" ht="17" x14ac:dyDescent="0.2">
      <c r="A61" s="28" t="s">
        <v>223</v>
      </c>
      <c r="B61" s="29" t="s">
        <v>388</v>
      </c>
      <c r="C61" s="30">
        <v>100000</v>
      </c>
      <c r="D61" s="31">
        <f t="shared" si="1"/>
        <v>220000.00000000003</v>
      </c>
    </row>
    <row r="62" spans="1:4" ht="17" x14ac:dyDescent="0.2">
      <c r="A62" s="28" t="s">
        <v>195</v>
      </c>
      <c r="B62" s="32" t="s">
        <v>377</v>
      </c>
      <c r="C62" s="30">
        <v>96820</v>
      </c>
      <c r="D62" s="31">
        <f t="shared" si="1"/>
        <v>213004.00000000003</v>
      </c>
    </row>
    <row r="63" spans="1:4" ht="17" x14ac:dyDescent="0.2">
      <c r="A63" s="28" t="s">
        <v>166</v>
      </c>
      <c r="B63" s="29" t="s">
        <v>386</v>
      </c>
      <c r="C63" s="30">
        <v>96408</v>
      </c>
      <c r="D63" s="31">
        <f t="shared" si="1"/>
        <v>212097.6</v>
      </c>
    </row>
    <row r="64" spans="1:4" ht="16" customHeight="1" x14ac:dyDescent="0.2">
      <c r="A64" s="28" t="s">
        <v>122</v>
      </c>
      <c r="B64" s="29" t="s">
        <v>385</v>
      </c>
      <c r="C64" s="30">
        <v>95000</v>
      </c>
      <c r="D64" s="31">
        <f t="shared" si="1"/>
        <v>209000.00000000003</v>
      </c>
    </row>
    <row r="65" spans="1:4" ht="17" x14ac:dyDescent="0.2">
      <c r="A65" s="28" t="s">
        <v>369</v>
      </c>
      <c r="B65" s="29" t="s">
        <v>389</v>
      </c>
      <c r="C65" s="30">
        <v>93831</v>
      </c>
      <c r="D65" s="31">
        <f t="shared" si="1"/>
        <v>206428.2</v>
      </c>
    </row>
    <row r="66" spans="1:4" ht="17" x14ac:dyDescent="0.2">
      <c r="A66" s="28" t="s">
        <v>270</v>
      </c>
      <c r="B66" s="32" t="s">
        <v>377</v>
      </c>
      <c r="C66" s="30">
        <v>91981</v>
      </c>
      <c r="D66" s="31">
        <f t="shared" ref="D66:D97" si="2">C66*2.2</f>
        <v>202358.2</v>
      </c>
    </row>
    <row r="67" spans="1:4" ht="17" x14ac:dyDescent="0.2">
      <c r="A67" s="28" t="s">
        <v>269</v>
      </c>
      <c r="B67" s="29" t="s">
        <v>381</v>
      </c>
      <c r="C67" s="30">
        <v>91981</v>
      </c>
      <c r="D67" s="31">
        <f t="shared" si="2"/>
        <v>202358.2</v>
      </c>
    </row>
    <row r="68" spans="1:4" ht="17" x14ac:dyDescent="0.2">
      <c r="A68" s="28" t="s">
        <v>273</v>
      </c>
      <c r="B68" s="29" t="s">
        <v>389</v>
      </c>
      <c r="C68" s="30">
        <v>91981</v>
      </c>
      <c r="D68" s="31">
        <f t="shared" si="2"/>
        <v>202358.2</v>
      </c>
    </row>
    <row r="69" spans="1:4" ht="17" x14ac:dyDescent="0.2">
      <c r="A69" s="28" t="s">
        <v>208</v>
      </c>
      <c r="B69" s="29" t="s">
        <v>383</v>
      </c>
      <c r="C69" s="30">
        <v>90000</v>
      </c>
      <c r="D69" s="31">
        <f t="shared" si="2"/>
        <v>198000.00000000003</v>
      </c>
    </row>
    <row r="70" spans="1:4" ht="17" x14ac:dyDescent="0.2">
      <c r="A70" s="28" t="s">
        <v>147</v>
      </c>
      <c r="B70" s="29" t="s">
        <v>386</v>
      </c>
      <c r="C70" s="30">
        <v>90000</v>
      </c>
      <c r="D70" s="31">
        <f t="shared" si="2"/>
        <v>198000.00000000003</v>
      </c>
    </row>
    <row r="71" spans="1:4" ht="17" x14ac:dyDescent="0.2">
      <c r="A71" s="28" t="s">
        <v>222</v>
      </c>
      <c r="B71" s="29" t="s">
        <v>387</v>
      </c>
      <c r="C71" s="30">
        <v>90000</v>
      </c>
      <c r="D71" s="31">
        <f t="shared" si="2"/>
        <v>198000.00000000003</v>
      </c>
    </row>
    <row r="72" spans="1:4" ht="17" x14ac:dyDescent="0.2">
      <c r="A72" s="28" t="s">
        <v>161</v>
      </c>
      <c r="B72" s="29" t="s">
        <v>388</v>
      </c>
      <c r="C72" s="30">
        <v>90000</v>
      </c>
      <c r="D72" s="31">
        <f t="shared" si="2"/>
        <v>198000.00000000003</v>
      </c>
    </row>
    <row r="73" spans="1:4" ht="17" x14ac:dyDescent="0.2">
      <c r="A73" s="28" t="s">
        <v>240</v>
      </c>
      <c r="B73" s="32" t="s">
        <v>377</v>
      </c>
      <c r="C73" s="30">
        <v>89000</v>
      </c>
      <c r="D73" s="31">
        <f t="shared" si="2"/>
        <v>195800.00000000003</v>
      </c>
    </row>
    <row r="74" spans="1:4" ht="17" x14ac:dyDescent="0.2">
      <c r="A74" s="28" t="s">
        <v>286</v>
      </c>
      <c r="B74" s="29" t="s">
        <v>383</v>
      </c>
      <c r="C74" s="30">
        <v>88261</v>
      </c>
      <c r="D74" s="31">
        <f t="shared" si="2"/>
        <v>194174.2</v>
      </c>
    </row>
    <row r="75" spans="1:4" ht="17" x14ac:dyDescent="0.2">
      <c r="A75" s="28" t="s">
        <v>172</v>
      </c>
      <c r="B75" s="29" t="s">
        <v>383</v>
      </c>
      <c r="C75" s="30">
        <v>85000</v>
      </c>
      <c r="D75" s="31">
        <f t="shared" si="2"/>
        <v>187000.00000000003</v>
      </c>
    </row>
    <row r="76" spans="1:4" ht="16" customHeight="1" x14ac:dyDescent="0.2">
      <c r="A76" s="28" t="s">
        <v>212</v>
      </c>
      <c r="B76" s="29" t="s">
        <v>384</v>
      </c>
      <c r="C76" s="30">
        <v>85000</v>
      </c>
      <c r="D76" s="31">
        <f t="shared" si="2"/>
        <v>187000.00000000003</v>
      </c>
    </row>
    <row r="77" spans="1:4" ht="17" x14ac:dyDescent="0.2">
      <c r="A77" s="28" t="s">
        <v>301</v>
      </c>
      <c r="B77" s="32" t="s">
        <v>377</v>
      </c>
      <c r="C77" s="30">
        <v>84543</v>
      </c>
      <c r="D77" s="31">
        <f t="shared" si="2"/>
        <v>185994.6</v>
      </c>
    </row>
    <row r="78" spans="1:4" ht="17" x14ac:dyDescent="0.2">
      <c r="A78" s="28" t="s">
        <v>314</v>
      </c>
      <c r="B78" s="33" t="s">
        <v>378</v>
      </c>
      <c r="C78" s="30">
        <v>83371</v>
      </c>
      <c r="D78" s="31">
        <f t="shared" si="2"/>
        <v>183416.2</v>
      </c>
    </row>
    <row r="79" spans="1:4" ht="17" x14ac:dyDescent="0.2">
      <c r="A79" s="28" t="s">
        <v>315</v>
      </c>
      <c r="B79" s="33" t="s">
        <v>378</v>
      </c>
      <c r="C79" s="30">
        <v>83371</v>
      </c>
      <c r="D79" s="31">
        <f t="shared" si="2"/>
        <v>183416.2</v>
      </c>
    </row>
    <row r="80" spans="1:4" ht="17" x14ac:dyDescent="0.2">
      <c r="A80" s="28" t="s">
        <v>338</v>
      </c>
      <c r="B80" s="29" t="s">
        <v>383</v>
      </c>
      <c r="C80" s="30">
        <v>83371</v>
      </c>
      <c r="D80" s="31">
        <f t="shared" si="2"/>
        <v>183416.2</v>
      </c>
    </row>
    <row r="81" spans="1:4" ht="17" x14ac:dyDescent="0.2">
      <c r="A81" s="28" t="s">
        <v>283</v>
      </c>
      <c r="B81" s="29" t="s">
        <v>389</v>
      </c>
      <c r="C81" s="30">
        <v>81079</v>
      </c>
      <c r="D81" s="31">
        <f t="shared" si="2"/>
        <v>178373.80000000002</v>
      </c>
    </row>
    <row r="82" spans="1:4" ht="17" x14ac:dyDescent="0.2">
      <c r="A82" s="28" t="s">
        <v>284</v>
      </c>
      <c r="B82" s="29" t="s">
        <v>381</v>
      </c>
      <c r="C82" s="30">
        <v>80823</v>
      </c>
      <c r="D82" s="31">
        <f t="shared" si="2"/>
        <v>177810.6</v>
      </c>
    </row>
    <row r="83" spans="1:4" ht="17" x14ac:dyDescent="0.2">
      <c r="A83" s="28" t="s">
        <v>285</v>
      </c>
      <c r="B83" s="29" t="s">
        <v>387</v>
      </c>
      <c r="C83" s="30">
        <v>80823</v>
      </c>
      <c r="D83" s="31">
        <f t="shared" si="2"/>
        <v>177810.6</v>
      </c>
    </row>
    <row r="84" spans="1:4" ht="17" x14ac:dyDescent="0.2">
      <c r="A84" s="28" t="s">
        <v>328</v>
      </c>
      <c r="B84" s="29" t="s">
        <v>380</v>
      </c>
      <c r="C84" s="30">
        <v>80000</v>
      </c>
      <c r="D84" s="31">
        <f t="shared" si="2"/>
        <v>176000</v>
      </c>
    </row>
    <row r="85" spans="1:4" ht="17" x14ac:dyDescent="0.2">
      <c r="A85" s="28" t="s">
        <v>335</v>
      </c>
      <c r="B85" s="29" t="s">
        <v>382</v>
      </c>
      <c r="C85" s="30">
        <v>79999</v>
      </c>
      <c r="D85" s="31">
        <f t="shared" si="2"/>
        <v>175997.80000000002</v>
      </c>
    </row>
    <row r="86" spans="1:4" ht="17" x14ac:dyDescent="0.2">
      <c r="A86" s="28" t="s">
        <v>88</v>
      </c>
      <c r="B86" s="32" t="s">
        <v>377</v>
      </c>
      <c r="C86" s="30">
        <v>78831</v>
      </c>
      <c r="D86" s="31">
        <f t="shared" si="2"/>
        <v>173428.2</v>
      </c>
    </row>
    <row r="87" spans="1:4" ht="17" x14ac:dyDescent="0.2">
      <c r="A87" s="28" t="s">
        <v>316</v>
      </c>
      <c r="B87" s="33" t="s">
        <v>378</v>
      </c>
      <c r="C87" s="30">
        <v>78831</v>
      </c>
      <c r="D87" s="31">
        <f t="shared" si="2"/>
        <v>173428.2</v>
      </c>
    </row>
    <row r="88" spans="1:4" ht="17" x14ac:dyDescent="0.2">
      <c r="A88" s="28" t="s">
        <v>182</v>
      </c>
      <c r="B88" s="29" t="s">
        <v>379</v>
      </c>
      <c r="C88" s="30">
        <v>78831</v>
      </c>
      <c r="D88" s="31">
        <f t="shared" si="2"/>
        <v>173428.2</v>
      </c>
    </row>
    <row r="89" spans="1:4" ht="17" x14ac:dyDescent="0.2">
      <c r="A89" s="28" t="s">
        <v>183</v>
      </c>
      <c r="B89" s="29" t="s">
        <v>382</v>
      </c>
      <c r="C89" s="30">
        <v>78831</v>
      </c>
      <c r="D89" s="31">
        <f t="shared" si="2"/>
        <v>173428.2</v>
      </c>
    </row>
    <row r="90" spans="1:4" ht="17" x14ac:dyDescent="0.2">
      <c r="A90" s="28" t="s">
        <v>149</v>
      </c>
      <c r="B90" s="29" t="s">
        <v>382</v>
      </c>
      <c r="C90" s="30">
        <v>78831</v>
      </c>
      <c r="D90" s="31">
        <f t="shared" si="2"/>
        <v>173428.2</v>
      </c>
    </row>
    <row r="91" spans="1:4" ht="17" x14ac:dyDescent="0.2">
      <c r="A91" s="28" t="s">
        <v>354</v>
      </c>
      <c r="B91" s="29" t="s">
        <v>386</v>
      </c>
      <c r="C91" s="30">
        <v>78831</v>
      </c>
      <c r="D91" s="31">
        <f t="shared" si="2"/>
        <v>173428.2</v>
      </c>
    </row>
    <row r="92" spans="1:4" ht="16" customHeight="1" x14ac:dyDescent="0.2">
      <c r="A92" s="28" t="s">
        <v>116</v>
      </c>
      <c r="B92" s="29" t="s">
        <v>386</v>
      </c>
      <c r="C92" s="30">
        <v>78831</v>
      </c>
      <c r="D92" s="31">
        <f t="shared" si="2"/>
        <v>173428.2</v>
      </c>
    </row>
    <row r="93" spans="1:4" ht="17" x14ac:dyDescent="0.2">
      <c r="A93" s="28" t="s">
        <v>101</v>
      </c>
      <c r="B93" s="29" t="s">
        <v>387</v>
      </c>
      <c r="C93" s="30">
        <v>78831</v>
      </c>
      <c r="D93" s="31">
        <f t="shared" si="2"/>
        <v>173428.2</v>
      </c>
    </row>
    <row r="94" spans="1:4" ht="17" x14ac:dyDescent="0.2">
      <c r="A94" s="28" t="s">
        <v>370</v>
      </c>
      <c r="B94" s="29" t="s">
        <v>389</v>
      </c>
      <c r="C94" s="30">
        <v>78831</v>
      </c>
      <c r="D94" s="31">
        <f t="shared" si="2"/>
        <v>173428.2</v>
      </c>
    </row>
    <row r="95" spans="1:4" ht="17" x14ac:dyDescent="0.2">
      <c r="A95" s="28" t="s">
        <v>371</v>
      </c>
      <c r="B95" s="29" t="s">
        <v>389</v>
      </c>
      <c r="C95" s="30">
        <v>78831</v>
      </c>
      <c r="D95" s="31">
        <f t="shared" si="2"/>
        <v>173428.2</v>
      </c>
    </row>
    <row r="96" spans="1:4" ht="17" x14ac:dyDescent="0.2">
      <c r="A96" s="28" t="s">
        <v>339</v>
      </c>
      <c r="B96" s="29" t="s">
        <v>383</v>
      </c>
      <c r="C96" s="30">
        <v>78066</v>
      </c>
      <c r="D96" s="31">
        <f t="shared" si="2"/>
        <v>171745.2</v>
      </c>
    </row>
    <row r="97" spans="1:4" ht="17" x14ac:dyDescent="0.2">
      <c r="A97" s="28" t="s">
        <v>343</v>
      </c>
      <c r="B97" s="29" t="s">
        <v>384</v>
      </c>
      <c r="C97" s="30">
        <v>78066</v>
      </c>
      <c r="D97" s="31">
        <f t="shared" si="2"/>
        <v>171745.2</v>
      </c>
    </row>
    <row r="98" spans="1:4" ht="17" x14ac:dyDescent="0.2">
      <c r="A98" s="28" t="s">
        <v>344</v>
      </c>
      <c r="B98" s="29" t="s">
        <v>384</v>
      </c>
      <c r="C98" s="30">
        <v>78066</v>
      </c>
      <c r="D98" s="31">
        <f t="shared" ref="D98:D129" si="3">C98*2.2</f>
        <v>171745.2</v>
      </c>
    </row>
    <row r="99" spans="1:4" ht="17" x14ac:dyDescent="0.2">
      <c r="A99" s="28" t="s">
        <v>349</v>
      </c>
      <c r="B99" s="29" t="s">
        <v>385</v>
      </c>
      <c r="C99" s="30">
        <v>78066</v>
      </c>
      <c r="D99" s="31">
        <f t="shared" si="3"/>
        <v>171745.2</v>
      </c>
    </row>
    <row r="100" spans="1:4" ht="17" x14ac:dyDescent="0.2">
      <c r="A100" s="28" t="s">
        <v>57</v>
      </c>
      <c r="B100" s="29" t="s">
        <v>382</v>
      </c>
      <c r="C100" s="30">
        <v>75694</v>
      </c>
      <c r="D100" s="31">
        <f t="shared" si="3"/>
        <v>166526.80000000002</v>
      </c>
    </row>
    <row r="101" spans="1:4" ht="17" x14ac:dyDescent="0.2">
      <c r="A101" s="28" t="s">
        <v>357</v>
      </c>
      <c r="B101" s="29" t="s">
        <v>387</v>
      </c>
      <c r="C101" s="30">
        <v>75643</v>
      </c>
      <c r="D101" s="31">
        <f t="shared" si="3"/>
        <v>166414.6</v>
      </c>
    </row>
    <row r="102" spans="1:4" ht="17" x14ac:dyDescent="0.2">
      <c r="A102" s="28" t="s">
        <v>358</v>
      </c>
      <c r="B102" s="29" t="s">
        <v>387</v>
      </c>
      <c r="C102" s="30">
        <v>75643</v>
      </c>
      <c r="D102" s="31">
        <f t="shared" si="3"/>
        <v>166414.6</v>
      </c>
    </row>
    <row r="103" spans="1:4" ht="17" x14ac:dyDescent="0.2">
      <c r="A103" s="28" t="s">
        <v>372</v>
      </c>
      <c r="B103" s="29" t="s">
        <v>389</v>
      </c>
      <c r="C103" s="30">
        <v>75643</v>
      </c>
      <c r="D103" s="31">
        <f t="shared" si="3"/>
        <v>166414.6</v>
      </c>
    </row>
    <row r="104" spans="1:4" ht="16" customHeight="1" x14ac:dyDescent="0.2">
      <c r="A104" s="28" t="s">
        <v>350</v>
      </c>
      <c r="B104" s="29" t="s">
        <v>385</v>
      </c>
      <c r="C104" s="30">
        <v>74909</v>
      </c>
      <c r="D104" s="31">
        <f t="shared" si="3"/>
        <v>164799.80000000002</v>
      </c>
    </row>
    <row r="105" spans="1:4" ht="17" x14ac:dyDescent="0.2">
      <c r="A105" s="28" t="s">
        <v>359</v>
      </c>
      <c r="B105" s="29" t="s">
        <v>387</v>
      </c>
      <c r="C105" s="30">
        <v>74909</v>
      </c>
      <c r="D105" s="31">
        <f t="shared" si="3"/>
        <v>164799.80000000002</v>
      </c>
    </row>
    <row r="106" spans="1:4" ht="17" x14ac:dyDescent="0.2">
      <c r="A106" s="28" t="s">
        <v>373</v>
      </c>
      <c r="B106" s="29" t="s">
        <v>389</v>
      </c>
      <c r="C106" s="30">
        <v>74909</v>
      </c>
      <c r="D106" s="31">
        <f t="shared" si="3"/>
        <v>164799.80000000002</v>
      </c>
    </row>
    <row r="107" spans="1:4" ht="17" x14ac:dyDescent="0.2">
      <c r="A107" s="28" t="s">
        <v>317</v>
      </c>
      <c r="B107" s="33" t="s">
        <v>378</v>
      </c>
      <c r="C107" s="30">
        <v>72455</v>
      </c>
      <c r="D107" s="31">
        <f t="shared" si="3"/>
        <v>159401</v>
      </c>
    </row>
    <row r="108" spans="1:4" ht="17" x14ac:dyDescent="0.2">
      <c r="A108" s="28" t="s">
        <v>345</v>
      </c>
      <c r="B108" s="29" t="s">
        <v>384</v>
      </c>
      <c r="C108" s="30">
        <v>72455</v>
      </c>
      <c r="D108" s="31">
        <f t="shared" si="3"/>
        <v>159401</v>
      </c>
    </row>
    <row r="109" spans="1:4" ht="17" x14ac:dyDescent="0.2">
      <c r="A109" s="28" t="s">
        <v>351</v>
      </c>
      <c r="B109" s="29" t="s">
        <v>385</v>
      </c>
      <c r="C109" s="30">
        <v>72455</v>
      </c>
      <c r="D109" s="31">
        <f t="shared" si="3"/>
        <v>159401</v>
      </c>
    </row>
    <row r="110" spans="1:4" ht="17" x14ac:dyDescent="0.2">
      <c r="A110" s="28" t="s">
        <v>360</v>
      </c>
      <c r="B110" s="29" t="s">
        <v>387</v>
      </c>
      <c r="C110" s="30">
        <v>72455</v>
      </c>
      <c r="D110" s="31">
        <f t="shared" si="3"/>
        <v>159401</v>
      </c>
    </row>
    <row r="111" spans="1:4" ht="17" x14ac:dyDescent="0.2">
      <c r="A111" s="28" t="s">
        <v>364</v>
      </c>
      <c r="B111" s="29" t="s">
        <v>388</v>
      </c>
      <c r="C111" s="30">
        <v>72455</v>
      </c>
      <c r="D111" s="31">
        <f t="shared" si="3"/>
        <v>159401</v>
      </c>
    </row>
    <row r="112" spans="1:4" ht="17" x14ac:dyDescent="0.2">
      <c r="A112" s="28" t="s">
        <v>313</v>
      </c>
      <c r="B112" s="32" t="s">
        <v>377</v>
      </c>
      <c r="C112" s="30">
        <v>69267</v>
      </c>
      <c r="D112" s="31">
        <f t="shared" si="3"/>
        <v>152387.40000000002</v>
      </c>
    </row>
    <row r="113" spans="1:4" ht="17" x14ac:dyDescent="0.2">
      <c r="A113" s="28" t="s">
        <v>325</v>
      </c>
      <c r="B113" s="29" t="s">
        <v>379</v>
      </c>
      <c r="C113" s="30">
        <v>69267</v>
      </c>
      <c r="D113" s="31">
        <f t="shared" si="3"/>
        <v>152387.40000000002</v>
      </c>
    </row>
    <row r="114" spans="1:4" ht="17" x14ac:dyDescent="0.2">
      <c r="A114" s="28" t="s">
        <v>332</v>
      </c>
      <c r="B114" s="29" t="s">
        <v>381</v>
      </c>
      <c r="C114" s="30">
        <v>69267</v>
      </c>
      <c r="D114" s="31">
        <f t="shared" si="3"/>
        <v>152387.40000000002</v>
      </c>
    </row>
    <row r="115" spans="1:4" ht="17" x14ac:dyDescent="0.2">
      <c r="A115" s="28" t="s">
        <v>340</v>
      </c>
      <c r="B115" s="29" t="s">
        <v>383</v>
      </c>
      <c r="C115" s="30">
        <v>69267</v>
      </c>
      <c r="D115" s="31">
        <f t="shared" si="3"/>
        <v>152387.40000000002</v>
      </c>
    </row>
    <row r="116" spans="1:4" ht="16" customHeight="1" x14ac:dyDescent="0.2">
      <c r="A116" s="28" t="s">
        <v>346</v>
      </c>
      <c r="B116" s="29" t="s">
        <v>384</v>
      </c>
      <c r="C116" s="30">
        <v>69267</v>
      </c>
      <c r="D116" s="31">
        <f t="shared" si="3"/>
        <v>152387.40000000002</v>
      </c>
    </row>
    <row r="117" spans="1:4" ht="17" x14ac:dyDescent="0.2">
      <c r="A117" s="28" t="s">
        <v>352</v>
      </c>
      <c r="B117" s="29" t="s">
        <v>385</v>
      </c>
      <c r="C117" s="30">
        <v>69267</v>
      </c>
      <c r="D117" s="31">
        <f t="shared" si="3"/>
        <v>152387.40000000002</v>
      </c>
    </row>
    <row r="118" spans="1:4" ht="17" x14ac:dyDescent="0.2">
      <c r="A118" s="28" t="s">
        <v>361</v>
      </c>
      <c r="B118" s="29" t="s">
        <v>387</v>
      </c>
      <c r="C118" s="30">
        <v>69267</v>
      </c>
      <c r="D118" s="31">
        <f t="shared" si="3"/>
        <v>152387.40000000002</v>
      </c>
    </row>
    <row r="119" spans="1:4" ht="17" x14ac:dyDescent="0.2">
      <c r="A119" s="28" t="s">
        <v>374</v>
      </c>
      <c r="B119" s="29" t="s">
        <v>389</v>
      </c>
      <c r="C119" s="30">
        <v>69267</v>
      </c>
      <c r="D119" s="31">
        <f t="shared" si="3"/>
        <v>152387.40000000002</v>
      </c>
    </row>
    <row r="120" spans="1:4" ht="17" x14ac:dyDescent="0.2">
      <c r="A120" s="28" t="s">
        <v>336</v>
      </c>
      <c r="B120" s="29" t="s">
        <v>382</v>
      </c>
      <c r="C120" s="30">
        <v>68595</v>
      </c>
      <c r="D120" s="31">
        <f t="shared" si="3"/>
        <v>150909</v>
      </c>
    </row>
    <row r="121" spans="1:4" ht="17" x14ac:dyDescent="0.2">
      <c r="A121" s="28" t="s">
        <v>365</v>
      </c>
      <c r="B121" s="29" t="s">
        <v>388</v>
      </c>
      <c r="C121" s="30">
        <v>68595</v>
      </c>
      <c r="D121" s="31">
        <f t="shared" si="3"/>
        <v>150909</v>
      </c>
    </row>
    <row r="122" spans="1:4" ht="17" x14ac:dyDescent="0.2">
      <c r="A122" s="28" t="s">
        <v>375</v>
      </c>
      <c r="B122" s="29" t="s">
        <v>389</v>
      </c>
      <c r="C122" s="30">
        <v>66710</v>
      </c>
      <c r="D122" s="31">
        <f t="shared" si="3"/>
        <v>146762</v>
      </c>
    </row>
    <row r="123" spans="1:4" ht="17" x14ac:dyDescent="0.2">
      <c r="A123" s="28" t="s">
        <v>318</v>
      </c>
      <c r="B123" s="33" t="s">
        <v>378</v>
      </c>
      <c r="C123" s="30">
        <v>66079</v>
      </c>
      <c r="D123" s="31">
        <f t="shared" si="3"/>
        <v>145373.80000000002</v>
      </c>
    </row>
    <row r="124" spans="1:4" ht="17" x14ac:dyDescent="0.2">
      <c r="A124" s="28" t="s">
        <v>319</v>
      </c>
      <c r="B124" s="33" t="s">
        <v>378</v>
      </c>
      <c r="C124" s="30">
        <v>66079</v>
      </c>
      <c r="D124" s="31">
        <f t="shared" si="3"/>
        <v>145373.80000000002</v>
      </c>
    </row>
    <row r="125" spans="1:4" ht="17" x14ac:dyDescent="0.2">
      <c r="A125" s="28" t="s">
        <v>297</v>
      </c>
      <c r="B125" s="33" t="s">
        <v>378</v>
      </c>
      <c r="C125" s="30">
        <v>66079</v>
      </c>
      <c r="D125" s="31">
        <f t="shared" si="3"/>
        <v>145373.80000000002</v>
      </c>
    </row>
    <row r="126" spans="1:4" ht="17" x14ac:dyDescent="0.2">
      <c r="A126" s="28" t="s">
        <v>329</v>
      </c>
      <c r="B126" s="29" t="s">
        <v>380</v>
      </c>
      <c r="C126" s="30">
        <v>66079</v>
      </c>
      <c r="D126" s="31">
        <f t="shared" si="3"/>
        <v>145373.80000000002</v>
      </c>
    </row>
    <row r="127" spans="1:4" ht="17" x14ac:dyDescent="0.2">
      <c r="A127" s="28" t="s">
        <v>330</v>
      </c>
      <c r="B127" s="29" t="s">
        <v>380</v>
      </c>
      <c r="C127" s="30">
        <v>66079</v>
      </c>
      <c r="D127" s="31">
        <f t="shared" si="3"/>
        <v>145373.80000000002</v>
      </c>
    </row>
    <row r="128" spans="1:4" ht="16" customHeight="1" x14ac:dyDescent="0.2">
      <c r="A128" s="28" t="s">
        <v>331</v>
      </c>
      <c r="B128" s="29" t="s">
        <v>380</v>
      </c>
      <c r="C128" s="30">
        <v>66079</v>
      </c>
      <c r="D128" s="31">
        <f t="shared" si="3"/>
        <v>145373.80000000002</v>
      </c>
    </row>
    <row r="129" spans="1:4" ht="17" x14ac:dyDescent="0.2">
      <c r="A129" s="28" t="s">
        <v>271</v>
      </c>
      <c r="B129" s="29" t="s">
        <v>381</v>
      </c>
      <c r="C129" s="30">
        <v>66079</v>
      </c>
      <c r="D129" s="31">
        <f t="shared" si="3"/>
        <v>145373.80000000002</v>
      </c>
    </row>
    <row r="130" spans="1:4" ht="17" x14ac:dyDescent="0.2">
      <c r="A130" s="28" t="s">
        <v>333</v>
      </c>
      <c r="B130" s="29" t="s">
        <v>381</v>
      </c>
      <c r="C130" s="30">
        <v>66079</v>
      </c>
      <c r="D130" s="31">
        <f t="shared" ref="D130:D161" si="4">C130*2.2</f>
        <v>145373.80000000002</v>
      </c>
    </row>
    <row r="131" spans="1:4" ht="17" x14ac:dyDescent="0.2">
      <c r="A131" s="28" t="s">
        <v>275</v>
      </c>
      <c r="B131" s="29" t="s">
        <v>382</v>
      </c>
      <c r="C131" s="30">
        <v>66079</v>
      </c>
      <c r="D131" s="31">
        <f t="shared" si="4"/>
        <v>145373.80000000002</v>
      </c>
    </row>
    <row r="132" spans="1:4" ht="17" x14ac:dyDescent="0.2">
      <c r="A132" s="28" t="s">
        <v>337</v>
      </c>
      <c r="B132" s="29" t="s">
        <v>382</v>
      </c>
      <c r="C132" s="30">
        <v>66079</v>
      </c>
      <c r="D132" s="31">
        <f t="shared" si="4"/>
        <v>145373.80000000002</v>
      </c>
    </row>
    <row r="133" spans="1:4" ht="17" x14ac:dyDescent="0.2">
      <c r="A133" s="28" t="s">
        <v>347</v>
      </c>
      <c r="B133" s="29" t="s">
        <v>384</v>
      </c>
      <c r="C133" s="30">
        <v>66079</v>
      </c>
      <c r="D133" s="31">
        <f t="shared" si="4"/>
        <v>145373.80000000002</v>
      </c>
    </row>
    <row r="134" spans="1:4" ht="17" x14ac:dyDescent="0.2">
      <c r="A134" s="28" t="s">
        <v>366</v>
      </c>
      <c r="B134" s="29" t="s">
        <v>388</v>
      </c>
      <c r="C134" s="30">
        <v>66079</v>
      </c>
      <c r="D134" s="31">
        <f t="shared" si="4"/>
        <v>145373.80000000002</v>
      </c>
    </row>
    <row r="135" spans="1:4" ht="17" x14ac:dyDescent="0.2">
      <c r="A135" t="s">
        <v>48</v>
      </c>
      <c r="B135" s="26" t="s">
        <v>380</v>
      </c>
      <c r="C135" s="9">
        <v>63721</v>
      </c>
      <c r="D135" s="10">
        <f t="shared" si="4"/>
        <v>140186.20000000001</v>
      </c>
    </row>
    <row r="136" spans="1:4" ht="17" x14ac:dyDescent="0.2">
      <c r="A136" t="s">
        <v>252</v>
      </c>
      <c r="B136" s="26" t="s">
        <v>379</v>
      </c>
      <c r="C136" s="9">
        <v>54418</v>
      </c>
      <c r="D136" s="10">
        <f t="shared" si="4"/>
        <v>119719.6</v>
      </c>
    </row>
    <row r="137" spans="1:4" ht="17" x14ac:dyDescent="0.2">
      <c r="A137" t="s">
        <v>367</v>
      </c>
      <c r="B137" s="26" t="s">
        <v>388</v>
      </c>
      <c r="C137" s="9">
        <v>53307</v>
      </c>
      <c r="D137" s="10">
        <f t="shared" si="4"/>
        <v>117275.40000000001</v>
      </c>
    </row>
    <row r="138" spans="1:4" ht="17" x14ac:dyDescent="0.2">
      <c r="A138" t="s">
        <v>255</v>
      </c>
      <c r="B138" s="26" t="s">
        <v>383</v>
      </c>
      <c r="C138" s="9">
        <v>52333</v>
      </c>
      <c r="D138" s="10">
        <f t="shared" si="4"/>
        <v>115132.6</v>
      </c>
    </row>
    <row r="139" spans="1:4" ht="17" x14ac:dyDescent="0.2">
      <c r="A139" t="s">
        <v>368</v>
      </c>
      <c r="B139" s="26" t="s">
        <v>388</v>
      </c>
      <c r="C139" s="9">
        <v>49420</v>
      </c>
      <c r="D139" s="10">
        <f t="shared" si="4"/>
        <v>108724.00000000001</v>
      </c>
    </row>
    <row r="140" spans="1:4" ht="16" customHeight="1" x14ac:dyDescent="0.2">
      <c r="A140" t="s">
        <v>355</v>
      </c>
      <c r="B140" s="26" t="s">
        <v>386</v>
      </c>
      <c r="C140" s="9">
        <v>48865</v>
      </c>
      <c r="D140" s="10">
        <f t="shared" si="4"/>
        <v>107503.00000000001</v>
      </c>
    </row>
    <row r="141" spans="1:4" ht="17" x14ac:dyDescent="0.2">
      <c r="A141" t="s">
        <v>152</v>
      </c>
      <c r="B141" s="26" t="s">
        <v>386</v>
      </c>
      <c r="C141" s="9">
        <v>42397</v>
      </c>
      <c r="D141" s="10">
        <f t="shared" si="4"/>
        <v>93273.400000000009</v>
      </c>
    </row>
    <row r="142" spans="1:4" ht="17" x14ac:dyDescent="0.2">
      <c r="A142" t="s">
        <v>320</v>
      </c>
      <c r="B142" s="25" t="s">
        <v>378</v>
      </c>
      <c r="C142" s="9">
        <v>36094</v>
      </c>
      <c r="D142" s="10">
        <f t="shared" si="4"/>
        <v>79406.8</v>
      </c>
    </row>
    <row r="143" spans="1:4" ht="17" x14ac:dyDescent="0.2">
      <c r="A143" t="s">
        <v>173</v>
      </c>
      <c r="B143" s="26" t="s">
        <v>382</v>
      </c>
      <c r="C143" s="9">
        <v>35110</v>
      </c>
      <c r="D143" s="10">
        <f t="shared" si="4"/>
        <v>77242</v>
      </c>
    </row>
    <row r="144" spans="1:4" ht="17" x14ac:dyDescent="0.2">
      <c r="A144" t="s">
        <v>287</v>
      </c>
      <c r="B144" s="26" t="s">
        <v>388</v>
      </c>
      <c r="C144" s="9">
        <v>32207</v>
      </c>
      <c r="D144" s="10">
        <f t="shared" si="4"/>
        <v>70855.400000000009</v>
      </c>
    </row>
    <row r="145" spans="1:4" ht="17" x14ac:dyDescent="0.2">
      <c r="A145" t="s">
        <v>353</v>
      </c>
      <c r="B145" s="26" t="s">
        <v>385</v>
      </c>
      <c r="C145" s="9">
        <v>25543</v>
      </c>
      <c r="D145" s="10">
        <f t="shared" si="4"/>
        <v>56194.600000000006</v>
      </c>
    </row>
    <row r="146" spans="1:4" ht="17" x14ac:dyDescent="0.2">
      <c r="A146" t="s">
        <v>362</v>
      </c>
      <c r="B146" s="26" t="s">
        <v>387</v>
      </c>
      <c r="C146" s="9">
        <v>25173</v>
      </c>
      <c r="D146" s="10">
        <f t="shared" si="4"/>
        <v>55380.600000000006</v>
      </c>
    </row>
    <row r="147" spans="1:4" ht="17" x14ac:dyDescent="0.2">
      <c r="A147" t="s">
        <v>341</v>
      </c>
      <c r="B147" s="26" t="s">
        <v>383</v>
      </c>
      <c r="C147" s="9">
        <v>23322</v>
      </c>
      <c r="D147" s="10">
        <f t="shared" si="4"/>
        <v>51308.4</v>
      </c>
    </row>
    <row r="148" spans="1:4" ht="17" x14ac:dyDescent="0.2">
      <c r="A148" t="s">
        <v>326</v>
      </c>
      <c r="B148" s="26" t="s">
        <v>379</v>
      </c>
      <c r="C148" s="9">
        <v>18880</v>
      </c>
      <c r="D148" s="10">
        <f t="shared" si="4"/>
        <v>41536</v>
      </c>
    </row>
    <row r="149" spans="1:4" ht="17" x14ac:dyDescent="0.2">
      <c r="A149" t="s">
        <v>363</v>
      </c>
      <c r="B149" s="26" t="s">
        <v>387</v>
      </c>
      <c r="C149" s="9">
        <v>17769</v>
      </c>
      <c r="D149" s="10">
        <f t="shared" si="4"/>
        <v>39091.800000000003</v>
      </c>
    </row>
    <row r="150" spans="1:4" ht="17" x14ac:dyDescent="0.2">
      <c r="A150" t="s">
        <v>321</v>
      </c>
      <c r="B150" s="25" t="s">
        <v>378</v>
      </c>
      <c r="C150" s="9">
        <v>17214</v>
      </c>
      <c r="D150" s="10">
        <f t="shared" si="4"/>
        <v>37870.800000000003</v>
      </c>
    </row>
    <row r="151" spans="1:4" ht="17" x14ac:dyDescent="0.2">
      <c r="A151" t="s">
        <v>334</v>
      </c>
      <c r="B151" s="26" t="s">
        <v>381</v>
      </c>
      <c r="C151" s="9">
        <v>15548</v>
      </c>
      <c r="D151" s="10">
        <f t="shared" si="4"/>
        <v>34205.600000000006</v>
      </c>
    </row>
    <row r="152" spans="1:4" ht="17" x14ac:dyDescent="0.2">
      <c r="A152" t="s">
        <v>235</v>
      </c>
      <c r="B152" s="26" t="s">
        <v>388</v>
      </c>
      <c r="C152" s="9">
        <v>13911</v>
      </c>
      <c r="D152" s="10">
        <f t="shared" si="4"/>
        <v>30604.2</v>
      </c>
    </row>
    <row r="153" spans="1:4" ht="16" customHeight="1" x14ac:dyDescent="0.2">
      <c r="A153" t="s">
        <v>356</v>
      </c>
      <c r="B153" s="26" t="s">
        <v>386</v>
      </c>
      <c r="C153" s="9">
        <v>13882</v>
      </c>
      <c r="D153" s="10">
        <f t="shared" si="4"/>
        <v>30540.400000000001</v>
      </c>
    </row>
    <row r="154" spans="1:4" ht="17" x14ac:dyDescent="0.2">
      <c r="A154" t="s">
        <v>265</v>
      </c>
      <c r="B154" s="26" t="s">
        <v>380</v>
      </c>
      <c r="C154" s="9">
        <v>12772</v>
      </c>
      <c r="D154" s="10">
        <f t="shared" si="4"/>
        <v>28098.400000000001</v>
      </c>
    </row>
    <row r="155" spans="1:4" ht="17" x14ac:dyDescent="0.2">
      <c r="A155" t="s">
        <v>348</v>
      </c>
      <c r="B155" s="26" t="s">
        <v>384</v>
      </c>
      <c r="C155" s="9">
        <v>10550</v>
      </c>
      <c r="D155" s="10">
        <f t="shared" si="4"/>
        <v>23210.000000000004</v>
      </c>
    </row>
    <row r="156" spans="1:4" ht="17" x14ac:dyDescent="0.2">
      <c r="A156" t="s">
        <v>327</v>
      </c>
      <c r="B156" s="26" t="s">
        <v>379</v>
      </c>
      <c r="C156" s="9">
        <v>7949</v>
      </c>
      <c r="D156" s="10">
        <f t="shared" si="4"/>
        <v>17487.800000000003</v>
      </c>
    </row>
    <row r="157" spans="1:4" ht="17" x14ac:dyDescent="0.2">
      <c r="A157" t="s">
        <v>81</v>
      </c>
      <c r="B157" s="26" t="s">
        <v>383</v>
      </c>
      <c r="C157" s="9">
        <v>7949</v>
      </c>
      <c r="D157" s="10">
        <f t="shared" si="4"/>
        <v>17487.800000000003</v>
      </c>
    </row>
    <row r="158" spans="1:4" ht="17" x14ac:dyDescent="0.2">
      <c r="A158" t="s">
        <v>342</v>
      </c>
      <c r="B158" s="26" t="s">
        <v>383</v>
      </c>
      <c r="C158" s="9">
        <v>4442</v>
      </c>
      <c r="D158" s="10">
        <f t="shared" si="4"/>
        <v>9772.4000000000015</v>
      </c>
    </row>
    <row r="159" spans="1:4" ht="17" x14ac:dyDescent="0.2">
      <c r="A159" t="s">
        <v>376</v>
      </c>
      <c r="B159" s="26" t="s">
        <v>389</v>
      </c>
      <c r="C159" s="9">
        <v>4442</v>
      </c>
      <c r="D159" s="10">
        <f t="shared" si="4"/>
        <v>9772.4000000000015</v>
      </c>
    </row>
    <row r="160" spans="1:4" ht="17" x14ac:dyDescent="0.2">
      <c r="A160" t="s">
        <v>129</v>
      </c>
      <c r="B160" s="26" t="s">
        <v>383</v>
      </c>
      <c r="C160" s="9">
        <v>3975</v>
      </c>
      <c r="D160" s="10">
        <f t="shared" si="4"/>
        <v>8745</v>
      </c>
    </row>
    <row r="161" spans="1:4" ht="17" x14ac:dyDescent="0.2">
      <c r="A161" t="s">
        <v>322</v>
      </c>
      <c r="B161" s="25" t="s">
        <v>378</v>
      </c>
      <c r="C161" s="9">
        <v>2915</v>
      </c>
      <c r="D161" s="10">
        <f t="shared" si="4"/>
        <v>6413.0000000000009</v>
      </c>
    </row>
    <row r="162" spans="1:4" ht="17" x14ac:dyDescent="0.2">
      <c r="A162" t="s">
        <v>200</v>
      </c>
      <c r="B162" s="26" t="s">
        <v>383</v>
      </c>
      <c r="C162" s="9">
        <v>1987</v>
      </c>
      <c r="D162" s="10">
        <f t="shared" ref="D162:D164" si="5">C162*2.2</f>
        <v>4371.4000000000005</v>
      </c>
    </row>
    <row r="163" spans="1:4" ht="17" x14ac:dyDescent="0.2">
      <c r="A163" t="s">
        <v>323</v>
      </c>
      <c r="B163" s="25" t="s">
        <v>378</v>
      </c>
      <c r="C163" s="9">
        <v>1250</v>
      </c>
      <c r="D163" s="10">
        <f t="shared" si="5"/>
        <v>2750</v>
      </c>
    </row>
    <row r="164" spans="1:4" ht="17" x14ac:dyDescent="0.2">
      <c r="A164" t="s">
        <v>324</v>
      </c>
      <c r="B164" s="25" t="s">
        <v>378</v>
      </c>
      <c r="C164" s="9">
        <v>833</v>
      </c>
      <c r="D164" s="10">
        <f t="shared" si="5"/>
        <v>1832.6000000000001</v>
      </c>
    </row>
  </sheetData>
  <sortState xmlns:xlrd2="http://schemas.microsoft.com/office/spreadsheetml/2017/richdata2" ref="A2:E164">
    <sortCondition descending="1" ref="C1:C164"/>
  </sortState>
  <hyperlinks>
    <hyperlink ref="E1" r:id="rId1" xr:uid="{5B0A05FB-56BE-5349-A720-19B0DCDD8ED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4F8E48-C81F-C045-A90F-8338E06DCA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Salary Cap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Anh Pham</dc:creator>
  <cp:lastModifiedBy>Duc Anh Pham</cp:lastModifiedBy>
  <dcterms:created xsi:type="dcterms:W3CDTF">2026-05-20T12:08:50Z</dcterms:created>
  <dcterms:modified xsi:type="dcterms:W3CDTF">2026-06-10T00:22:24Z</dcterms:modified>
</cp:coreProperties>
</file>