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ducanh_pham_student_kuleuven_be/Documents/Project/DV/Data/"/>
    </mc:Choice>
  </mc:AlternateContent>
  <xr:revisionPtr revIDLastSave="0" documentId="13_ncr:1_{DE80FE27-85B8-7446-B0B5-CCD4C0C5E08F}" xr6:coauthVersionLast="47" xr6:coauthVersionMax="47" xr10:uidLastSave="{00000000-0000-0000-0000-000000000000}"/>
  <bookViews>
    <workbookView xWindow="0" yWindow="500" windowWidth="28800" windowHeight="15880" xr2:uid="{2CA5B595-B802-9B4C-BED3-078499A9E9EB}"/>
  </bookViews>
  <sheets>
    <sheet name="League" sheetId="1" r:id="rId1"/>
    <sheet name="Players per Te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2" i="2"/>
  <c r="D14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<sst xmlns="http://schemas.openxmlformats.org/spreadsheetml/2006/main" count="287" uniqueCount="258">
  <si>
    <t>Team</t>
  </si>
  <si>
    <t> LV</t>
  </si>
  <si>
    <t>27.9</t>
  </si>
  <si>
    <t>$-23,646</t>
  </si>
  <si>
    <t>$1,428,691</t>
  </si>
  <si>
    <t>$102,055</t>
  </si>
  <si>
    <t>-</t>
  </si>
  <si>
    <t> DAL</t>
  </si>
  <si>
    <t>24.6</t>
  </si>
  <si>
    <t>$-11,804</t>
  </si>
  <si>
    <t>$1,126,616</t>
  </si>
  <si>
    <t>$392,288</t>
  </si>
  <si>
    <t> MIN</t>
  </si>
  <si>
    <t>26.8</t>
  </si>
  <si>
    <t>$-949</t>
  </si>
  <si>
    <t>$1,438,629</t>
  </si>
  <si>
    <t>$69,420</t>
  </si>
  <si>
    <t>$870,000</t>
  </si>
  <si>
    <t> PHX</t>
  </si>
  <si>
    <t>29.1</t>
  </si>
  <si>
    <t>$480</t>
  </si>
  <si>
    <t>$1,402,693</t>
  </si>
  <si>
    <t>$103,927</t>
  </si>
  <si>
    <t> ATL</t>
  </si>
  <si>
    <t>26.9</t>
  </si>
  <si>
    <t>$617</t>
  </si>
  <si>
    <t>$1,498,709</t>
  </si>
  <si>
    <t>$7,774</t>
  </si>
  <si>
    <t> NY</t>
  </si>
  <si>
    <t>29.6</t>
  </si>
  <si>
    <t>$2,165</t>
  </si>
  <si>
    <t>$1,402,678</t>
  </si>
  <si>
    <t>$102,257</t>
  </si>
  <si>
    <t> IND</t>
  </si>
  <si>
    <t>28.1</t>
  </si>
  <si>
    <t>$15,970</t>
  </si>
  <si>
    <t>$1,271,683</t>
  </si>
  <si>
    <t>$219,447</t>
  </si>
  <si>
    <t> LA</t>
  </si>
  <si>
    <t>27.0</t>
  </si>
  <si>
    <t>$20,066</t>
  </si>
  <si>
    <t>$1,312,314</t>
  </si>
  <si>
    <t>$174,720</t>
  </si>
  <si>
    <t> CHI</t>
  </si>
  <si>
    <t>27.4</t>
  </si>
  <si>
    <t>$27,473</t>
  </si>
  <si>
    <t>$1,330,240</t>
  </si>
  <si>
    <t>$149,387</t>
  </si>
  <si>
    <t> SEA</t>
  </si>
  <si>
    <t>28.3</t>
  </si>
  <si>
    <t>$1,464,680</t>
  </si>
  <si>
    <t>$42,420</t>
  </si>
  <si>
    <t> CON</t>
  </si>
  <si>
    <t>26.6</t>
  </si>
  <si>
    <t>$214,347</t>
  </si>
  <si>
    <t>$1,040,513</t>
  </si>
  <si>
    <t>$252,240</t>
  </si>
  <si>
    <t> GS</t>
  </si>
  <si>
    <t>26.4</t>
  </si>
  <si>
    <t>$219,482</t>
  </si>
  <si>
    <t>$1,091,805</t>
  </si>
  <si>
    <t>$195,813</t>
  </si>
  <si>
    <t> WAS</t>
  </si>
  <si>
    <t>25.1</t>
  </si>
  <si>
    <t>$271,218</t>
  </si>
  <si>
    <t>$1,091,432</t>
  </si>
  <si>
    <t>$144,450</t>
  </si>
  <si>
    <t>Totals</t>
  </si>
  <si>
    <t>$18,814,461</t>
  </si>
  <si>
    <t>$777,839</t>
  </si>
  <si>
    <t>$16,900,683</t>
  </si>
  <si>
    <t>$1,913,778</t>
  </si>
  <si>
    <t>Averages</t>
  </si>
  <si>
    <t>12.5</t>
  </si>
  <si>
    <t>27.2</t>
  </si>
  <si>
    <t>$1,447,266</t>
  </si>
  <si>
    <t>$59,834</t>
  </si>
  <si>
    <t>$1,300,053</t>
  </si>
  <si>
    <t>$147,214</t>
  </si>
  <si>
    <t>$66,923</t>
  </si>
  <si>
    <t>PlayersActive</t>
  </si>
  <si>
    <t>Avg AgeTeam</t>
  </si>
  <si>
    <t>Total CapAllocations</t>
  </si>
  <si>
    <t>Cap SpaceAll</t>
  </si>
  <si>
    <t>DeadCap</t>
  </si>
  <si>
    <t>GuaranteedCap</t>
  </si>
  <si>
    <t>Ranking</t>
  </si>
  <si>
    <t>Active Roster</t>
  </si>
  <si>
    <t xml:space="preserve">Adjusted Allocations </t>
  </si>
  <si>
    <t>Name</t>
  </si>
  <si>
    <t>Salary</t>
  </si>
  <si>
    <t>Brittney Griner</t>
  </si>
  <si>
    <t>Brionna Jones</t>
  </si>
  <si>
    <t>Jordin Canada</t>
  </si>
  <si>
    <t>Allisha Gray</t>
  </si>
  <si>
    <t>Nia Coffey</t>
  </si>
  <si>
    <t>Shatori Walker-Kimbrough</t>
  </si>
  <si>
    <t>Rhyne Howard</t>
  </si>
  <si>
    <t>Naz Hillmon</t>
  </si>
  <si>
    <t>Te-Hina Paopao</t>
  </si>
  <si>
    <t>Maya Caldwell</t>
  </si>
  <si>
    <t>Taylor Thierry</t>
  </si>
  <si>
    <t>Arike Ogunbowale</t>
  </si>
  <si>
    <t>Myisha Hines-Allen</t>
  </si>
  <si>
    <t>Tyasha Harris</t>
  </si>
  <si>
    <t>Maddy Siegrist</t>
  </si>
  <si>
    <t>Diamond Miller</t>
  </si>
  <si>
    <t>Paige Bueckers</t>
  </si>
  <si>
    <t>Aziaha James</t>
  </si>
  <si>
    <t>JJ Quinerly</t>
  </si>
  <si>
    <t>Luisa Geiselsöder</t>
  </si>
  <si>
    <t>Li Yueru</t>
  </si>
  <si>
    <t>Haley Jones</t>
  </si>
  <si>
    <t>Grace Berger</t>
  </si>
  <si>
    <t>Amy Okonkwo</t>
  </si>
  <si>
    <t>Ajae Petty</t>
  </si>
  <si>
    <t>Christyn Williams</t>
  </si>
  <si>
    <t>Napheesa Collier</t>
  </si>
  <si>
    <t>Kayla McBride</t>
  </si>
  <si>
    <t>DiJonai Carrington</t>
  </si>
  <si>
    <t>Courtney Williams</t>
  </si>
  <si>
    <t>Alanna Smith</t>
  </si>
  <si>
    <t>Natisha Hiedeman</t>
  </si>
  <si>
    <t>Bridget Carleton</t>
  </si>
  <si>
    <t>Jessica Shepard</t>
  </si>
  <si>
    <t>Anastasiia Olairi Kosu</t>
  </si>
  <si>
    <t>Maria Kliundikova</t>
  </si>
  <si>
    <t>Jaylyn Sherrod</t>
  </si>
  <si>
    <t>Camryn Taylor</t>
  </si>
  <si>
    <t>Kahleah Copper</t>
  </si>
  <si>
    <t>Satou Sabally</t>
  </si>
  <si>
    <t>Alyssa Thomas</t>
  </si>
  <si>
    <t>Kalani Brown</t>
  </si>
  <si>
    <t>Sami Whitcomb</t>
  </si>
  <si>
    <t>Natasha Mack</t>
  </si>
  <si>
    <t>Kitija Laksa</t>
  </si>
  <si>
    <t>Monique Akoa Makani</t>
  </si>
  <si>
    <t>Lexi Held</t>
  </si>
  <si>
    <t>Kathryn Westbeld</t>
  </si>
  <si>
    <t>DeWanna Bonner</t>
  </si>
  <si>
    <t>Kiana Williams</t>
  </si>
  <si>
    <t>Sika Koné</t>
  </si>
  <si>
    <t>Breanna Stewart</t>
  </si>
  <si>
    <t>Sabrina Ionescu</t>
  </si>
  <si>
    <t>Jonquel Jones</t>
  </si>
  <si>
    <t>Natasha Cloud</t>
  </si>
  <si>
    <t>Nyara Sabally</t>
  </si>
  <si>
    <t>Kennedy Burke</t>
  </si>
  <si>
    <t>Isabelle Harrison</t>
  </si>
  <si>
    <t>Emma Meesseman</t>
  </si>
  <si>
    <t>Leonie Fiebich</t>
  </si>
  <si>
    <t>Rebekah Gardner</t>
  </si>
  <si>
    <t>Marine Johannès</t>
  </si>
  <si>
    <t>Stephanie Talbot</t>
  </si>
  <si>
    <t>Kelsey Mitchell</t>
  </si>
  <si>
    <t>Natasha Howard</t>
  </si>
  <si>
    <t>Sophie Cunningham</t>
  </si>
  <si>
    <t>Damiris Dantas</t>
  </si>
  <si>
    <t>Sydney Colson</t>
  </si>
  <si>
    <t>Lexie Hull</t>
  </si>
  <si>
    <t>Brianna Turner</t>
  </si>
  <si>
    <t>Aliyah Boston</t>
  </si>
  <si>
    <t>Caitlin Clark</t>
  </si>
  <si>
    <t>Makayla Timpson</t>
  </si>
  <si>
    <t>Aari McDonald</t>
  </si>
  <si>
    <t>Chloe Bibby</t>
  </si>
  <si>
    <t>Odyssey Sims</t>
  </si>
  <si>
    <t>Bree Hall</t>
  </si>
  <si>
    <t>Aerial Powers</t>
  </si>
  <si>
    <t>Shey Peddy</t>
  </si>
  <si>
    <t>Dearica Hamby</t>
  </si>
  <si>
    <t>Kelsey Plum</t>
  </si>
  <si>
    <t>Azurá Stevens</t>
  </si>
  <si>
    <t>Rae Burrell</t>
  </si>
  <si>
    <t>Emma Cannon</t>
  </si>
  <si>
    <t>Julie Allemand</t>
  </si>
  <si>
    <t>Cameron Brink</t>
  </si>
  <si>
    <t>Rickea Jackson</t>
  </si>
  <si>
    <t>Sarah Ashlee Barker</t>
  </si>
  <si>
    <t>Sania Feagin</t>
  </si>
  <si>
    <t>Julie Vanloo</t>
  </si>
  <si>
    <t>Alissa Pili</t>
  </si>
  <si>
    <t>Ariel Atkins</t>
  </si>
  <si>
    <t>Courtney Vandersloot</t>
  </si>
  <si>
    <t>Rebecca Allen</t>
  </si>
  <si>
    <t>Kia Nurse</t>
  </si>
  <si>
    <t>Michaela Onyenwere</t>
  </si>
  <si>
    <t>Elizabeth Williams</t>
  </si>
  <si>
    <t>Rachel Banham</t>
  </si>
  <si>
    <t>Kamilla Cardoso</t>
  </si>
  <si>
    <t>Angel Reese</t>
  </si>
  <si>
    <t>Hailey Van Lith</t>
  </si>
  <si>
    <t>Maddy Westbeld</t>
  </si>
  <si>
    <t>Sevgi Uzun</t>
  </si>
  <si>
    <t>Gabby Williams</t>
  </si>
  <si>
    <t>Skylar Diggins</t>
  </si>
  <si>
    <t>Nneka Ogwumike</t>
  </si>
  <si>
    <t>Brittney Sykes</t>
  </si>
  <si>
    <t>Ezi Magbegor</t>
  </si>
  <si>
    <t>Lexie Brown</t>
  </si>
  <si>
    <t>Katie Lou Samuelson</t>
  </si>
  <si>
    <t>Dominique Malonga</t>
  </si>
  <si>
    <t>Erica Wheeler</t>
  </si>
  <si>
    <t>Mackenzie Holmes</t>
  </si>
  <si>
    <t>Tiffany Mitchell</t>
  </si>
  <si>
    <t>Zia Cooke</t>
  </si>
  <si>
    <t>Marina Mabrey</t>
  </si>
  <si>
    <t>Tina Charles</t>
  </si>
  <si>
    <t>Lindsay Allen</t>
  </si>
  <si>
    <t>Olivia Nelson-Ododa</t>
  </si>
  <si>
    <t>Bria Hartley</t>
  </si>
  <si>
    <t>Aneesah Morrow</t>
  </si>
  <si>
    <t>Saniya Rivers</t>
  </si>
  <si>
    <t>Aaliyah Edwards</t>
  </si>
  <si>
    <t>Leila Lacan</t>
  </si>
  <si>
    <t>Rayah Marshall</t>
  </si>
  <si>
    <t>Haley Peters</t>
  </si>
  <si>
    <t>Mamignan Touré</t>
  </si>
  <si>
    <t>Tiffany Hayes</t>
  </si>
  <si>
    <t>Kayla Thornton</t>
  </si>
  <si>
    <t>Monique Billings</t>
  </si>
  <si>
    <t>Veronica Burton</t>
  </si>
  <si>
    <t>Cecilia Zandalasini</t>
  </si>
  <si>
    <t>Temi Fagbenle</t>
  </si>
  <si>
    <t>Carla Leite</t>
  </si>
  <si>
    <t>Kate Martin</t>
  </si>
  <si>
    <t>Janelle Salaün</t>
  </si>
  <si>
    <t>Laeticia Amihere</t>
  </si>
  <si>
    <t>Kaitlyn Chen</t>
  </si>
  <si>
    <t>Iliana Rupert</t>
  </si>
  <si>
    <t>Kaila Charles</t>
  </si>
  <si>
    <t>Alysha Clark</t>
  </si>
  <si>
    <t>Stefanie Dolson</t>
  </si>
  <si>
    <t>Sug Sutton</t>
  </si>
  <si>
    <t>Shakira Austin</t>
  </si>
  <si>
    <t>Emily Engstler</t>
  </si>
  <si>
    <t>Sonia Citron</t>
  </si>
  <si>
    <t>Kiki Iriafen</t>
  </si>
  <si>
    <t>Georgia Amoore</t>
  </si>
  <si>
    <t>Jacy Sheldon</t>
  </si>
  <si>
    <t>Lucy Olsen</t>
  </si>
  <si>
    <t>Jade Melbourne</t>
  </si>
  <si>
    <t>Madison Scott</t>
  </si>
  <si>
    <t>Adjusted Salary</t>
  </si>
  <si>
    <t>https://herhoopstats.com/salary-cap-sheet/wnba/summary/2025/</t>
  </si>
  <si>
    <t xml:space="preserve">https://herhoopstats.com/salary-cap-sheet/wnba/summary/2025/       </t>
  </si>
  <si>
    <t xml:space="preserve">https://herhoopstats.com/salary-cap-sheet/wnba/team/2025/minnesota-lynx-11eaecc7-357c-772c-b611-2362f5011b0b/ </t>
  </si>
  <si>
    <t>Jewell Loyd</t>
  </si>
  <si>
    <t>A'ja Wilson</t>
  </si>
  <si>
    <t>Chelsea Gray</t>
  </si>
  <si>
    <t>Jackie Young</t>
  </si>
  <si>
    <t>Kiah Stokes</t>
  </si>
  <si>
    <t>Megan Gustafson</t>
  </si>
  <si>
    <t>NaLyssa Smith</t>
  </si>
  <si>
    <t>Dana Evans</t>
  </si>
  <si>
    <t>Kierstan Bell</t>
  </si>
  <si>
    <t>Cheyenne Parker-Tyus</t>
  </si>
  <si>
    <t>Aaliyah Nye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</si>
</sst>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6C7C9B"/>
      <name val="Calibri"/>
      <family val="2"/>
      <scheme val="minor"/>
    </font>
    <font>
      <sz val="12"/>
      <color rgb="FF373F50"/>
      <name val="Calibri"/>
      <family val="2"/>
      <scheme val="minor"/>
    </font>
    <font>
      <b/>
      <sz val="12"/>
      <color rgb="FF6C7C9B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2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4" fillId="0" borderId="0" xfId="1" applyNumberFormat="1" applyFont="1" applyAlignment="1">
      <alignment horizontal="left" vertical="center" wrapText="1"/>
    </xf>
    <xf numFmtId="164" fontId="0" fillId="0" borderId="0" xfId="0" applyNumberFormat="1"/>
    <xf numFmtId="164" fontId="0" fillId="0" borderId="0" xfId="1" applyNumberFormat="1" applyFont="1"/>
    <xf numFmtId="0" fontId="2" fillId="0" borderId="0" xfId="2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2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346/cap/2025" TargetMode="External"/><Relationship Id="rId13" Type="http://schemas.openxmlformats.org/officeDocument/2006/relationships/hyperlink" Target="https://www.spotrac.com/redirect/team/351/cap/2025" TargetMode="External"/><Relationship Id="rId3" Type="http://schemas.openxmlformats.org/officeDocument/2006/relationships/hyperlink" Target="https://www.spotrac.com/redirect/team/347/cap/2025" TargetMode="External"/><Relationship Id="rId7" Type="http://schemas.openxmlformats.org/officeDocument/2006/relationships/hyperlink" Target="https://www.spotrac.com/redirect/team/344/cap/2025" TargetMode="External"/><Relationship Id="rId12" Type="http://schemas.openxmlformats.org/officeDocument/2006/relationships/hyperlink" Target="https://www.spotrac.com/redirect/team/1021/cap/2025" TargetMode="External"/><Relationship Id="rId2" Type="http://schemas.openxmlformats.org/officeDocument/2006/relationships/hyperlink" Target="https://www.spotrac.com/redirect/team/343/cap/2025" TargetMode="External"/><Relationship Id="rId1" Type="http://schemas.openxmlformats.org/officeDocument/2006/relationships/hyperlink" Target="https://www.spotrac.com/redirect/team/345/cap/2025" TargetMode="External"/><Relationship Id="rId6" Type="http://schemas.openxmlformats.org/officeDocument/2006/relationships/hyperlink" Target="https://www.spotrac.com/redirect/team/348/cap/2025" TargetMode="External"/><Relationship Id="rId11" Type="http://schemas.openxmlformats.org/officeDocument/2006/relationships/hyperlink" Target="https://www.spotrac.com/redirect/team/342/cap/2025" TargetMode="External"/><Relationship Id="rId5" Type="http://schemas.openxmlformats.org/officeDocument/2006/relationships/hyperlink" Target="https://www.spotrac.com/redirect/team/340/cap/2025" TargetMode="External"/><Relationship Id="rId15" Type="http://schemas.openxmlformats.org/officeDocument/2006/relationships/hyperlink" Target="https://herhoopstats.com/salary-cap-sheet/wnba/summary/2025/" TargetMode="External"/><Relationship Id="rId10" Type="http://schemas.openxmlformats.org/officeDocument/2006/relationships/hyperlink" Target="https://www.spotrac.com/redirect/team/350/cap/2025" TargetMode="External"/><Relationship Id="rId4" Type="http://schemas.openxmlformats.org/officeDocument/2006/relationships/hyperlink" Target="https://www.spotrac.com/redirect/team/349/cap/2025" TargetMode="External"/><Relationship Id="rId9" Type="http://schemas.openxmlformats.org/officeDocument/2006/relationships/hyperlink" Target="https://www.spotrac.com/redirect/team/341/cap/2025" TargetMode="External"/><Relationship Id="rId14" Type="http://schemas.openxmlformats.org/officeDocument/2006/relationships/hyperlink" Target="https://herhoopstats.com/salary-cap-sheet/wnba/summary/2025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trac.com/redirect/team/345/cap/2025" TargetMode="External"/><Relationship Id="rId13" Type="http://schemas.openxmlformats.org/officeDocument/2006/relationships/hyperlink" Target="https://www.spotrac.com/redirect/team/342/cap/2025" TargetMode="External"/><Relationship Id="rId3" Type="http://schemas.openxmlformats.org/officeDocument/2006/relationships/hyperlink" Target="https://www.spotrac.com/redirect/team/348/cap/2025" TargetMode="External"/><Relationship Id="rId7" Type="http://schemas.openxmlformats.org/officeDocument/2006/relationships/hyperlink" Target="https://www.spotrac.com/redirect/team/350/cap/2025" TargetMode="External"/><Relationship Id="rId12" Type="http://schemas.openxmlformats.org/officeDocument/2006/relationships/hyperlink" Target="https://www.spotrac.com/redirect/team/1021/cap/2025" TargetMode="External"/><Relationship Id="rId2" Type="http://schemas.openxmlformats.org/officeDocument/2006/relationships/hyperlink" Target="https://www.spotrac.com/redirect/team/340/cap/2025" TargetMode="External"/><Relationship Id="rId1" Type="http://schemas.openxmlformats.org/officeDocument/2006/relationships/hyperlink" Target="https://www.spotrac.com/redirect/team/349/cap/2025" TargetMode="External"/><Relationship Id="rId6" Type="http://schemas.openxmlformats.org/officeDocument/2006/relationships/hyperlink" Target="https://www.spotrac.com/redirect/team/341/cap/2025" TargetMode="External"/><Relationship Id="rId11" Type="http://schemas.openxmlformats.org/officeDocument/2006/relationships/hyperlink" Target="https://www.spotrac.com/redirect/team/351/cap/2025" TargetMode="External"/><Relationship Id="rId5" Type="http://schemas.openxmlformats.org/officeDocument/2006/relationships/hyperlink" Target="https://www.spotrac.com/redirect/team/346/cap/2025" TargetMode="External"/><Relationship Id="rId10" Type="http://schemas.openxmlformats.org/officeDocument/2006/relationships/hyperlink" Target="https://www.spotrac.com/redirect/team/347/cap/2025" TargetMode="External"/><Relationship Id="rId4" Type="http://schemas.openxmlformats.org/officeDocument/2006/relationships/hyperlink" Target="https://www.spotrac.com/redirect/team/344/cap/2025" TargetMode="External"/><Relationship Id="rId9" Type="http://schemas.openxmlformats.org/officeDocument/2006/relationships/hyperlink" Target="https://www.spotrac.com/redirect/team/343/cap/2025" TargetMode="External"/><Relationship Id="rId14" Type="http://schemas.openxmlformats.org/officeDocument/2006/relationships/hyperlink" Target="https://herhoopstats.com/salary-cap-sheet/wnba/team/2025/minnesota-lynx-11eaecc7-357c-772c-b611-2362f5011b0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5823-7628-634B-93F7-543A81CF9354}">
  <dimension ref="A1:L16"/>
  <sheetViews>
    <sheetView tabSelected="1" zoomScale="139" workbookViewId="0">
      <pane ySplit="1" topLeftCell="A2" activePane="bottomLeft" state="frozen"/>
      <selection pane="bottomLeft" activeCell="D18" sqref="D18"/>
    </sheetView>
  </sheetViews>
  <sheetFormatPr baseColWidth="10" defaultRowHeight="16" x14ac:dyDescent="0.2"/>
  <cols>
    <col min="1" max="1" width="11" style="1" customWidth="1"/>
    <col min="2" max="2" width="12.33203125" style="1" customWidth="1"/>
    <col min="3" max="3" width="15.6640625" style="1" bestFit="1" customWidth="1"/>
    <col min="4" max="4" width="15.6640625" style="1" customWidth="1"/>
    <col min="5" max="5" width="14.1640625" style="1" bestFit="1" customWidth="1"/>
    <col min="6" max="6" width="14.33203125" style="1" bestFit="1" customWidth="1"/>
    <col min="7" max="7" width="12.5" style="1" customWidth="1"/>
    <col min="8" max="8" width="16.1640625" style="1" customWidth="1"/>
    <col min="9" max="9" width="12.6640625" style="1" customWidth="1"/>
    <col min="10" max="10" width="16.83203125" style="1" bestFit="1" customWidth="1"/>
    <col min="11" max="11" width="32.5" style="1" customWidth="1"/>
    <col min="12" max="12" width="38.33203125" style="1" customWidth="1"/>
    <col min="13" max="16384" width="10.83203125" style="1"/>
  </cols>
  <sheetData>
    <row r="1" spans="1:12" ht="40" x14ac:dyDescent="0.2">
      <c r="A1" s="6" t="s">
        <v>86</v>
      </c>
      <c r="B1" s="7" t="s">
        <v>0</v>
      </c>
      <c r="C1" s="7" t="s">
        <v>82</v>
      </c>
      <c r="D1" s="7" t="s">
        <v>88</v>
      </c>
      <c r="E1" s="7" t="s">
        <v>80</v>
      </c>
      <c r="F1" s="7" t="s">
        <v>81</v>
      </c>
      <c r="G1" s="7" t="s">
        <v>83</v>
      </c>
      <c r="H1" s="7" t="s">
        <v>87</v>
      </c>
      <c r="I1" s="7" t="s">
        <v>84</v>
      </c>
      <c r="J1" s="7" t="s">
        <v>85</v>
      </c>
      <c r="K1" s="13" t="s">
        <v>245</v>
      </c>
      <c r="L1" s="13" t="s">
        <v>244</v>
      </c>
    </row>
    <row r="2" spans="1:12" ht="17" x14ac:dyDescent="0.2">
      <c r="A2" s="2">
        <v>1</v>
      </c>
      <c r="B2" s="3" t="s">
        <v>1</v>
      </c>
      <c r="C2" s="10">
        <v>1530746</v>
      </c>
      <c r="D2" s="9">
        <f>C2*2.2</f>
        <v>3367641.2</v>
      </c>
      <c r="E2" s="4">
        <v>11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2" ht="17" x14ac:dyDescent="0.2">
      <c r="A3" s="2">
        <v>2</v>
      </c>
      <c r="B3" s="3" t="s">
        <v>7</v>
      </c>
      <c r="C3" s="10">
        <v>1518904</v>
      </c>
      <c r="D3" s="9">
        <f t="shared" ref="D3:D13" si="0">C3*2.2</f>
        <v>3341588.8000000003</v>
      </c>
      <c r="E3" s="4">
        <v>15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6</v>
      </c>
    </row>
    <row r="4" spans="1:12" ht="17" x14ac:dyDescent="0.2">
      <c r="A4" s="2">
        <v>3</v>
      </c>
      <c r="B4" s="3" t="s">
        <v>12</v>
      </c>
      <c r="C4" s="10">
        <v>1508049</v>
      </c>
      <c r="D4" s="9">
        <f t="shared" si="0"/>
        <v>3317707.8000000003</v>
      </c>
      <c r="E4" s="4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</row>
    <row r="5" spans="1:12" ht="17" x14ac:dyDescent="0.2">
      <c r="A5" s="2">
        <v>4</v>
      </c>
      <c r="B5" s="3" t="s">
        <v>18</v>
      </c>
      <c r="C5" s="10">
        <v>1506620</v>
      </c>
      <c r="D5" s="9">
        <f t="shared" si="0"/>
        <v>3314564.0000000005</v>
      </c>
      <c r="E5" s="4">
        <v>12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6</v>
      </c>
    </row>
    <row r="6" spans="1:12" ht="17" x14ac:dyDescent="0.2">
      <c r="A6" s="2">
        <v>5</v>
      </c>
      <c r="B6" s="3" t="s">
        <v>23</v>
      </c>
      <c r="C6" s="10">
        <v>1506483</v>
      </c>
      <c r="D6" s="9">
        <f t="shared" si="0"/>
        <v>3314262.6</v>
      </c>
      <c r="E6" s="4">
        <v>12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6</v>
      </c>
    </row>
    <row r="7" spans="1:12" ht="17" x14ac:dyDescent="0.2">
      <c r="A7" s="2">
        <v>6</v>
      </c>
      <c r="B7" s="3" t="s">
        <v>28</v>
      </c>
      <c r="C7" s="10">
        <v>1504935</v>
      </c>
      <c r="D7" s="9">
        <f t="shared" si="0"/>
        <v>3310857.0000000005</v>
      </c>
      <c r="E7" s="4">
        <v>12</v>
      </c>
      <c r="F7" s="4" t="s">
        <v>29</v>
      </c>
      <c r="G7" s="4" t="s">
        <v>30</v>
      </c>
      <c r="H7" s="4" t="s">
        <v>31</v>
      </c>
      <c r="I7" s="4" t="s">
        <v>32</v>
      </c>
      <c r="J7" s="4" t="s">
        <v>6</v>
      </c>
    </row>
    <row r="8" spans="1:12" ht="17" x14ac:dyDescent="0.2">
      <c r="A8" s="2">
        <v>7</v>
      </c>
      <c r="B8" s="3" t="s">
        <v>33</v>
      </c>
      <c r="C8" s="10">
        <v>1491130</v>
      </c>
      <c r="D8" s="9">
        <f t="shared" si="0"/>
        <v>3280486.0000000005</v>
      </c>
      <c r="E8" s="4">
        <v>16</v>
      </c>
      <c r="F8" s="4" t="s">
        <v>34</v>
      </c>
      <c r="G8" s="4" t="s">
        <v>35</v>
      </c>
      <c r="H8" s="4" t="s">
        <v>36</v>
      </c>
      <c r="I8" s="4" t="s">
        <v>37</v>
      </c>
      <c r="J8" s="4" t="s">
        <v>6</v>
      </c>
    </row>
    <row r="9" spans="1:12" ht="17" x14ac:dyDescent="0.2">
      <c r="A9" s="2">
        <v>8</v>
      </c>
      <c r="B9" s="3" t="s">
        <v>38</v>
      </c>
      <c r="C9" s="10">
        <v>1487034</v>
      </c>
      <c r="D9" s="9">
        <f t="shared" si="0"/>
        <v>3271474.8000000003</v>
      </c>
      <c r="E9" s="4">
        <v>12</v>
      </c>
      <c r="F9" s="4" t="s">
        <v>39</v>
      </c>
      <c r="G9" s="4" t="s">
        <v>40</v>
      </c>
      <c r="H9" s="4" t="s">
        <v>41</v>
      </c>
      <c r="I9" s="4" t="s">
        <v>42</v>
      </c>
      <c r="J9" s="4" t="s">
        <v>6</v>
      </c>
    </row>
    <row r="10" spans="1:12" ht="17" x14ac:dyDescent="0.2">
      <c r="A10" s="2">
        <v>9</v>
      </c>
      <c r="B10" s="3" t="s">
        <v>43</v>
      </c>
      <c r="C10" s="10">
        <v>1479627</v>
      </c>
      <c r="D10" s="9">
        <f t="shared" si="0"/>
        <v>3255179.4000000004</v>
      </c>
      <c r="E10" s="4">
        <v>12</v>
      </c>
      <c r="F10" s="4" t="s">
        <v>44</v>
      </c>
      <c r="G10" s="4" t="s">
        <v>45</v>
      </c>
      <c r="H10" s="4" t="s">
        <v>46</v>
      </c>
      <c r="I10" s="4" t="s">
        <v>47</v>
      </c>
      <c r="J10" s="4" t="s">
        <v>6</v>
      </c>
    </row>
    <row r="11" spans="1:12" ht="17" x14ac:dyDescent="0.2">
      <c r="A11" s="2">
        <v>10</v>
      </c>
      <c r="B11" s="3" t="s">
        <v>48</v>
      </c>
      <c r="C11" s="10">
        <v>1464680</v>
      </c>
      <c r="D11" s="9">
        <f t="shared" si="0"/>
        <v>3222296.0000000005</v>
      </c>
      <c r="E11" s="4">
        <v>12</v>
      </c>
      <c r="F11" s="4" t="s">
        <v>49</v>
      </c>
      <c r="G11" s="4" t="s">
        <v>51</v>
      </c>
      <c r="H11" s="4" t="s">
        <v>50</v>
      </c>
      <c r="I11" s="4" t="s">
        <v>6</v>
      </c>
      <c r="J11" s="4" t="s">
        <v>6</v>
      </c>
    </row>
    <row r="12" spans="1:12" ht="17" x14ac:dyDescent="0.2">
      <c r="A12" s="2">
        <v>11</v>
      </c>
      <c r="B12" s="3" t="s">
        <v>52</v>
      </c>
      <c r="C12" s="10">
        <v>1292753</v>
      </c>
      <c r="D12" s="9">
        <f t="shared" si="0"/>
        <v>2844056.6</v>
      </c>
      <c r="E12" s="4">
        <v>12</v>
      </c>
      <c r="F12" s="4" t="s">
        <v>53</v>
      </c>
      <c r="G12" s="4" t="s">
        <v>54</v>
      </c>
      <c r="H12" s="4" t="s">
        <v>55</v>
      </c>
      <c r="I12" s="4" t="s">
        <v>56</v>
      </c>
      <c r="J12" s="4" t="s">
        <v>6</v>
      </c>
    </row>
    <row r="13" spans="1:12" ht="17" x14ac:dyDescent="0.2">
      <c r="A13" s="2">
        <v>12</v>
      </c>
      <c r="B13" s="3" t="s">
        <v>57</v>
      </c>
      <c r="C13" s="10">
        <v>1287618</v>
      </c>
      <c r="D13" s="9">
        <f t="shared" si="0"/>
        <v>2832759.6</v>
      </c>
      <c r="E13" s="4">
        <v>13</v>
      </c>
      <c r="F13" s="4" t="s">
        <v>58</v>
      </c>
      <c r="G13" s="4" t="s">
        <v>59</v>
      </c>
      <c r="H13" s="4" t="s">
        <v>60</v>
      </c>
      <c r="I13" s="4" t="s">
        <v>61</v>
      </c>
      <c r="J13" s="4" t="s">
        <v>6</v>
      </c>
    </row>
    <row r="14" spans="1:12" ht="17" x14ac:dyDescent="0.2">
      <c r="A14" s="2">
        <v>13</v>
      </c>
      <c r="B14" s="3" t="s">
        <v>62</v>
      </c>
      <c r="C14" s="10">
        <v>1235882</v>
      </c>
      <c r="D14" s="9">
        <f>C14*2.2</f>
        <v>2718940.4000000004</v>
      </c>
      <c r="E14" s="4">
        <v>12</v>
      </c>
      <c r="F14" s="4" t="s">
        <v>63</v>
      </c>
      <c r="G14" s="4" t="s">
        <v>64</v>
      </c>
      <c r="H14" s="4" t="s">
        <v>65</v>
      </c>
      <c r="I14" s="4" t="s">
        <v>66</v>
      </c>
      <c r="J14" s="4" t="s">
        <v>6</v>
      </c>
    </row>
    <row r="15" spans="1:12" ht="17" x14ac:dyDescent="0.2">
      <c r="A15" s="5"/>
      <c r="B15" s="8" t="s">
        <v>67</v>
      </c>
      <c r="C15" s="8" t="s">
        <v>68</v>
      </c>
      <c r="D15" s="8"/>
      <c r="E15" s="8">
        <v>163</v>
      </c>
      <c r="F15" s="8"/>
      <c r="G15" s="8" t="s">
        <v>69</v>
      </c>
      <c r="H15" s="8" t="s">
        <v>70</v>
      </c>
      <c r="I15" s="8" t="s">
        <v>71</v>
      </c>
      <c r="J15" s="8" t="s">
        <v>17</v>
      </c>
    </row>
    <row r="16" spans="1:12" ht="17" x14ac:dyDescent="0.2">
      <c r="A16" s="5"/>
      <c r="B16" s="8" t="s">
        <v>72</v>
      </c>
      <c r="C16" s="8" t="s">
        <v>75</v>
      </c>
      <c r="D16" s="8"/>
      <c r="E16" s="8" t="s">
        <v>73</v>
      </c>
      <c r="F16" s="8" t="s">
        <v>74</v>
      </c>
      <c r="G16" s="8" t="s">
        <v>76</v>
      </c>
      <c r="H16" s="8" t="s">
        <v>77</v>
      </c>
      <c r="I16" s="8" t="s">
        <v>78</v>
      </c>
      <c r="J16" s="8" t="s">
        <v>79</v>
      </c>
    </row>
  </sheetData>
  <phoneticPr fontId="7" type="noConversion"/>
  <hyperlinks>
    <hyperlink ref="B2" r:id="rId1" display="https://www.spotrac.com/redirect/team/345/cap/2025" xr:uid="{FB215996-EDF4-2049-B963-68F387E221E1}"/>
    <hyperlink ref="B3" r:id="rId2" display="https://www.spotrac.com/redirect/team/343/cap/2025" xr:uid="{C6861204-63B1-2344-8973-6F2F4727ECAD}"/>
    <hyperlink ref="B4" r:id="rId3" display="https://www.spotrac.com/redirect/team/347/cap/2025" xr:uid="{9D894265-40CC-2E4C-8969-90CFA2767EA0}"/>
    <hyperlink ref="B5" r:id="rId4" display="https://www.spotrac.com/redirect/team/349/cap/2025" xr:uid="{FA5A0B45-56F4-EE47-A12E-030069A23A92}"/>
    <hyperlink ref="B6" r:id="rId5" display="https://www.spotrac.com/redirect/team/340/cap/2025" xr:uid="{E642BDDE-BA27-9644-B6A4-521E49C96A2F}"/>
    <hyperlink ref="B7" r:id="rId6" display="https://www.spotrac.com/redirect/team/348/cap/2025" xr:uid="{99854C96-1E07-1340-8FE2-F2CB7C9025AE}"/>
    <hyperlink ref="B8" r:id="rId7" display="https://www.spotrac.com/redirect/team/344/cap/2025" xr:uid="{2BA7A596-BFDD-6346-9E0A-E8B6AB29C074}"/>
    <hyperlink ref="B9" r:id="rId8" display="https://www.spotrac.com/redirect/team/346/cap/2025" xr:uid="{4BD86553-1E62-484E-954C-9AB666B52F09}"/>
    <hyperlink ref="B10" r:id="rId9" display="https://www.spotrac.com/redirect/team/341/cap/2025" xr:uid="{FB69AB7F-DB8F-994B-8F8F-F78B8D1AF9C5}"/>
    <hyperlink ref="B11" r:id="rId10" display="https://www.spotrac.com/redirect/team/350/cap/2025" xr:uid="{D02C2FFB-0BC8-3C4D-B929-8CB292DF41C6}"/>
    <hyperlink ref="B12" r:id="rId11" display="https://www.spotrac.com/redirect/team/342/cap/2025" xr:uid="{945CBD3E-F4A9-C240-A80C-D4DDE23B497C}"/>
    <hyperlink ref="B13" r:id="rId12" display="https://www.spotrac.com/redirect/team/1021/cap/2025" xr:uid="{A3B7E386-F5A2-1447-B16B-E12538F35247}"/>
    <hyperlink ref="B14" r:id="rId13" display="https://www.spotrac.com/redirect/team/351/cap/2025" xr:uid="{BCE459C7-2564-EF41-BAA4-DBACF63DE362}"/>
    <hyperlink ref="K1" r:id="rId14" xr:uid="{BE2A2859-1043-ED42-B72F-89D196DC0AC5}"/>
    <hyperlink ref="L1" r:id="rId15" xr:uid="{C4CC5669-5569-4645-B4FB-132CD00D7C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84AC-2FB9-664B-A230-3B3B1028F1DF}">
  <dimension ref="A1:G167"/>
  <sheetViews>
    <sheetView zoomScale="139" workbookViewId="0">
      <pane ySplit="1" topLeftCell="A2" activePane="bottomLeft" state="frozen"/>
      <selection pane="bottomLeft" activeCell="D11" sqref="A1:G164"/>
    </sheetView>
  </sheetViews>
  <sheetFormatPr baseColWidth="10" defaultRowHeight="16" x14ac:dyDescent="0.2"/>
  <cols>
    <col min="1" max="1" width="11" style="1" customWidth="1"/>
    <col min="2" max="2" width="12.33203125" style="1" customWidth="1"/>
    <col min="3" max="3" width="14.1640625" style="1" bestFit="1" customWidth="1"/>
    <col min="4" max="4" width="22.83203125" customWidth="1"/>
    <col min="5" max="5" width="23.5" customWidth="1"/>
    <col min="6" max="6" width="22.1640625" customWidth="1"/>
    <col min="7" max="7" width="51.6640625" customWidth="1"/>
  </cols>
  <sheetData>
    <row r="1" spans="1:7" ht="51" x14ac:dyDescent="0.2">
      <c r="A1" s="6" t="s">
        <v>86</v>
      </c>
      <c r="B1" s="6" t="s">
        <v>0</v>
      </c>
      <c r="C1" s="6" t="s">
        <v>80</v>
      </c>
      <c r="D1" s="7" t="s">
        <v>89</v>
      </c>
      <c r="E1" s="7" t="s">
        <v>90</v>
      </c>
      <c r="F1" s="6" t="s">
        <v>243</v>
      </c>
      <c r="G1" s="13" t="s">
        <v>246</v>
      </c>
    </row>
    <row r="2" spans="1:7" ht="17" customHeight="1" x14ac:dyDescent="0.2">
      <c r="A2" s="14">
        <v>1</v>
      </c>
      <c r="B2" s="15" t="s">
        <v>1</v>
      </c>
      <c r="C2" s="14">
        <v>11</v>
      </c>
      <c r="D2" t="s">
        <v>247</v>
      </c>
      <c r="E2" s="11">
        <v>249032</v>
      </c>
      <c r="F2" s="12">
        <f>E2*2.2</f>
        <v>547870.4</v>
      </c>
    </row>
    <row r="3" spans="1:7" x14ac:dyDescent="0.2">
      <c r="A3" s="14"/>
      <c r="B3" s="15"/>
      <c r="C3" s="14"/>
      <c r="D3" t="s">
        <v>248</v>
      </c>
      <c r="E3" s="11">
        <v>200000</v>
      </c>
      <c r="F3" s="12">
        <f t="shared" ref="F3:F66" si="0">E3*2.2</f>
        <v>440000.00000000006</v>
      </c>
    </row>
    <row r="4" spans="1:7" x14ac:dyDescent="0.2">
      <c r="A4" s="14"/>
      <c r="B4" s="15"/>
      <c r="C4" s="14"/>
      <c r="D4" t="s">
        <v>249</v>
      </c>
      <c r="E4" s="11">
        <v>196267</v>
      </c>
      <c r="F4" s="12">
        <f t="shared" si="0"/>
        <v>431787.4</v>
      </c>
    </row>
    <row r="5" spans="1:7" x14ac:dyDescent="0.2">
      <c r="A5" s="14"/>
      <c r="B5" s="15"/>
      <c r="C5" s="14"/>
      <c r="D5" t="s">
        <v>250</v>
      </c>
      <c r="E5" s="11">
        <v>169950</v>
      </c>
      <c r="F5" s="12">
        <f t="shared" si="0"/>
        <v>373890.00000000006</v>
      </c>
    </row>
    <row r="6" spans="1:7" x14ac:dyDescent="0.2">
      <c r="A6" s="14"/>
      <c r="B6" s="15"/>
      <c r="C6" s="14"/>
      <c r="D6" t="s">
        <v>251</v>
      </c>
      <c r="E6" s="11">
        <v>103000</v>
      </c>
      <c r="F6" s="12">
        <f t="shared" si="0"/>
        <v>226600.00000000003</v>
      </c>
    </row>
    <row r="7" spans="1:7" x14ac:dyDescent="0.2">
      <c r="A7" s="14"/>
      <c r="B7" s="15"/>
      <c r="C7" s="14"/>
      <c r="D7" t="s">
        <v>252</v>
      </c>
      <c r="E7" s="11">
        <v>96820</v>
      </c>
      <c r="F7" s="12">
        <f t="shared" si="0"/>
        <v>213004.00000000003</v>
      </c>
    </row>
    <row r="8" spans="1:7" x14ac:dyDescent="0.2">
      <c r="A8" s="14"/>
      <c r="B8" s="15"/>
      <c r="C8" s="14"/>
      <c r="D8" t="s">
        <v>253</v>
      </c>
      <c r="E8" s="11">
        <v>91981</v>
      </c>
      <c r="F8" s="12">
        <f t="shared" si="0"/>
        <v>202358.2</v>
      </c>
    </row>
    <row r="9" spans="1:7" x14ac:dyDescent="0.2">
      <c r="A9" s="14"/>
      <c r="B9" s="15"/>
      <c r="C9" s="14"/>
      <c r="D9" t="s">
        <v>254</v>
      </c>
      <c r="E9" s="11">
        <v>89000</v>
      </c>
      <c r="F9" s="12">
        <f t="shared" si="0"/>
        <v>195800.00000000003</v>
      </c>
    </row>
    <row r="10" spans="1:7" x14ac:dyDescent="0.2">
      <c r="A10" s="14"/>
      <c r="B10" s="15"/>
      <c r="C10" s="14"/>
      <c r="D10" t="s">
        <v>255</v>
      </c>
      <c r="E10" s="11">
        <v>84543</v>
      </c>
      <c r="F10" s="12">
        <f t="shared" si="0"/>
        <v>185994.6</v>
      </c>
    </row>
    <row r="11" spans="1:7" x14ac:dyDescent="0.2">
      <c r="A11" s="14"/>
      <c r="B11" s="15"/>
      <c r="C11" s="14"/>
      <c r="D11" t="s">
        <v>256</v>
      </c>
      <c r="E11" s="11">
        <v>78831</v>
      </c>
      <c r="F11" s="12">
        <f t="shared" si="0"/>
        <v>173428.2</v>
      </c>
    </row>
    <row r="12" spans="1:7" x14ac:dyDescent="0.2">
      <c r="A12" s="14"/>
      <c r="B12" s="15"/>
      <c r="C12" s="14"/>
      <c r="D12" t="s">
        <v>257</v>
      </c>
      <c r="E12" s="11">
        <v>69267</v>
      </c>
      <c r="F12" s="12">
        <f t="shared" si="0"/>
        <v>152387.40000000002</v>
      </c>
    </row>
    <row r="13" spans="1:7" ht="17" customHeight="1" x14ac:dyDescent="0.2">
      <c r="A13" s="14">
        <v>2</v>
      </c>
      <c r="B13" s="14" t="s">
        <v>7</v>
      </c>
      <c r="C13" s="14">
        <v>15</v>
      </c>
      <c r="D13" t="s">
        <v>102</v>
      </c>
      <c r="E13" s="11">
        <v>249032</v>
      </c>
      <c r="F13" s="12">
        <f t="shared" si="0"/>
        <v>547870.4</v>
      </c>
    </row>
    <row r="14" spans="1:7" x14ac:dyDescent="0.2">
      <c r="A14" s="14"/>
      <c r="B14" s="14"/>
      <c r="C14" s="14"/>
      <c r="D14" t="s">
        <v>103</v>
      </c>
      <c r="E14" s="11">
        <v>203000</v>
      </c>
      <c r="F14" s="12">
        <f t="shared" si="0"/>
        <v>446600.00000000006</v>
      </c>
    </row>
    <row r="15" spans="1:7" x14ac:dyDescent="0.2">
      <c r="A15" s="14"/>
      <c r="B15" s="14"/>
      <c r="C15" s="14"/>
      <c r="D15" t="s">
        <v>104</v>
      </c>
      <c r="E15" s="11">
        <v>100013</v>
      </c>
      <c r="F15" s="12">
        <f t="shared" si="0"/>
        <v>220028.6</v>
      </c>
    </row>
    <row r="16" spans="1:7" x14ac:dyDescent="0.2">
      <c r="A16" s="14"/>
      <c r="B16" s="14"/>
      <c r="C16" s="14"/>
      <c r="D16" t="s">
        <v>105</v>
      </c>
      <c r="E16" s="11">
        <v>83371</v>
      </c>
      <c r="F16" s="12">
        <f t="shared" si="0"/>
        <v>183416.2</v>
      </c>
    </row>
    <row r="17" spans="1:6" x14ac:dyDescent="0.2">
      <c r="A17" s="14"/>
      <c r="B17" s="14"/>
      <c r="C17" s="14"/>
      <c r="D17" t="s">
        <v>106</v>
      </c>
      <c r="E17" s="11">
        <v>83371</v>
      </c>
      <c r="F17" s="12">
        <f t="shared" si="0"/>
        <v>183416.2</v>
      </c>
    </row>
    <row r="18" spans="1:6" x14ac:dyDescent="0.2">
      <c r="A18" s="14"/>
      <c r="B18" s="14"/>
      <c r="C18" s="14"/>
      <c r="D18" t="s">
        <v>107</v>
      </c>
      <c r="E18" s="11">
        <v>78831</v>
      </c>
      <c r="F18" s="12">
        <f t="shared" si="0"/>
        <v>173428.2</v>
      </c>
    </row>
    <row r="19" spans="1:6" x14ac:dyDescent="0.2">
      <c r="A19" s="14"/>
      <c r="B19" s="14"/>
      <c r="C19" s="14"/>
      <c r="D19" t="s">
        <v>108</v>
      </c>
      <c r="E19" s="11">
        <v>72455</v>
      </c>
      <c r="F19" s="12">
        <f t="shared" si="0"/>
        <v>159401</v>
      </c>
    </row>
    <row r="20" spans="1:6" x14ac:dyDescent="0.2">
      <c r="A20" s="14"/>
      <c r="B20" s="14"/>
      <c r="C20" s="14"/>
      <c r="D20" t="s">
        <v>109</v>
      </c>
      <c r="E20" s="11">
        <v>66079</v>
      </c>
      <c r="F20" s="12">
        <f t="shared" si="0"/>
        <v>145373.80000000002</v>
      </c>
    </row>
    <row r="21" spans="1:6" x14ac:dyDescent="0.2">
      <c r="A21" s="14"/>
      <c r="B21" s="14"/>
      <c r="C21" s="14"/>
      <c r="D21" t="s">
        <v>110</v>
      </c>
      <c r="E21" s="11">
        <v>66079</v>
      </c>
      <c r="F21" s="12">
        <f t="shared" si="0"/>
        <v>145373.80000000002</v>
      </c>
    </row>
    <row r="22" spans="1:6" x14ac:dyDescent="0.2">
      <c r="A22" s="14"/>
      <c r="B22" s="14"/>
      <c r="C22" s="14"/>
      <c r="D22" t="s">
        <v>111</v>
      </c>
      <c r="E22" s="11">
        <v>66079</v>
      </c>
      <c r="F22" s="12">
        <f t="shared" si="0"/>
        <v>145373.80000000002</v>
      </c>
    </row>
    <row r="23" spans="1:6" x14ac:dyDescent="0.2">
      <c r="A23" s="14"/>
      <c r="B23" s="14"/>
      <c r="C23" s="14"/>
      <c r="D23" t="s">
        <v>112</v>
      </c>
      <c r="E23" s="11">
        <v>36094</v>
      </c>
      <c r="F23" s="12">
        <f t="shared" si="0"/>
        <v>79406.8</v>
      </c>
    </row>
    <row r="24" spans="1:6" x14ac:dyDescent="0.2">
      <c r="A24" s="14"/>
      <c r="B24" s="14"/>
      <c r="C24" s="14"/>
      <c r="D24" t="s">
        <v>113</v>
      </c>
      <c r="E24" s="11">
        <v>17214</v>
      </c>
      <c r="F24" s="12">
        <f t="shared" si="0"/>
        <v>37870.800000000003</v>
      </c>
    </row>
    <row r="25" spans="1:6" x14ac:dyDescent="0.2">
      <c r="A25" s="14"/>
      <c r="B25" s="14"/>
      <c r="C25" s="14"/>
      <c r="D25" t="s">
        <v>114</v>
      </c>
      <c r="E25" s="11">
        <v>2915</v>
      </c>
      <c r="F25" s="12">
        <f t="shared" si="0"/>
        <v>6413.0000000000009</v>
      </c>
    </row>
    <row r="26" spans="1:6" x14ac:dyDescent="0.2">
      <c r="A26" s="14"/>
      <c r="B26" s="14"/>
      <c r="C26" s="14"/>
      <c r="D26" t="s">
        <v>115</v>
      </c>
      <c r="E26" s="11">
        <v>1250</v>
      </c>
      <c r="F26" s="12">
        <f t="shared" si="0"/>
        <v>2750</v>
      </c>
    </row>
    <row r="27" spans="1:6" x14ac:dyDescent="0.2">
      <c r="A27" s="14"/>
      <c r="B27" s="14"/>
      <c r="C27" s="14"/>
      <c r="D27" t="s">
        <v>116</v>
      </c>
      <c r="E27" s="11">
        <v>833</v>
      </c>
      <c r="F27" s="12">
        <f t="shared" si="0"/>
        <v>1832.6000000000001</v>
      </c>
    </row>
    <row r="28" spans="1:6" x14ac:dyDescent="0.2">
      <c r="A28" s="14">
        <v>3</v>
      </c>
      <c r="B28" s="14" t="s">
        <v>12</v>
      </c>
      <c r="C28" s="14">
        <v>12</v>
      </c>
      <c r="D28" t="s">
        <v>117</v>
      </c>
      <c r="E28" s="11">
        <v>214284</v>
      </c>
      <c r="F28" s="12">
        <f t="shared" si="0"/>
        <v>471424.80000000005</v>
      </c>
    </row>
    <row r="29" spans="1:6" x14ac:dyDescent="0.2">
      <c r="A29" s="14"/>
      <c r="B29" s="14"/>
      <c r="C29" s="14"/>
      <c r="D29" t="s">
        <v>118</v>
      </c>
      <c r="E29" s="11">
        <v>205000</v>
      </c>
      <c r="F29" s="12">
        <f t="shared" si="0"/>
        <v>451000.00000000006</v>
      </c>
    </row>
    <row r="30" spans="1:6" x14ac:dyDescent="0.2">
      <c r="A30" s="14"/>
      <c r="B30" s="14"/>
      <c r="C30" s="14"/>
      <c r="D30" t="s">
        <v>119</v>
      </c>
      <c r="E30" s="11">
        <v>200000</v>
      </c>
      <c r="F30" s="12">
        <f t="shared" si="0"/>
        <v>440000.00000000006</v>
      </c>
    </row>
    <row r="31" spans="1:6" x14ac:dyDescent="0.2">
      <c r="A31" s="14"/>
      <c r="B31" s="14"/>
      <c r="C31" s="14"/>
      <c r="D31" t="s">
        <v>120</v>
      </c>
      <c r="E31" s="11">
        <v>180000</v>
      </c>
      <c r="F31" s="12">
        <f t="shared" si="0"/>
        <v>396000.00000000006</v>
      </c>
    </row>
    <row r="32" spans="1:6" x14ac:dyDescent="0.2">
      <c r="A32" s="14"/>
      <c r="B32" s="14"/>
      <c r="C32" s="14"/>
      <c r="D32" t="s">
        <v>121</v>
      </c>
      <c r="E32" s="11">
        <v>150000</v>
      </c>
      <c r="F32" s="12">
        <f t="shared" si="0"/>
        <v>330000</v>
      </c>
    </row>
    <row r="33" spans="1:6" x14ac:dyDescent="0.2">
      <c r="A33" s="14"/>
      <c r="B33" s="14"/>
      <c r="C33" s="14"/>
      <c r="D33" t="s">
        <v>122</v>
      </c>
      <c r="E33" s="11">
        <v>135000</v>
      </c>
      <c r="F33" s="12">
        <f t="shared" si="0"/>
        <v>297000</v>
      </c>
    </row>
    <row r="34" spans="1:6" x14ac:dyDescent="0.2">
      <c r="A34" s="14"/>
      <c r="B34" s="14"/>
      <c r="C34" s="14"/>
      <c r="D34" t="s">
        <v>123</v>
      </c>
      <c r="E34" s="11">
        <v>125000</v>
      </c>
      <c r="F34" s="12">
        <f t="shared" si="0"/>
        <v>275000</v>
      </c>
    </row>
    <row r="35" spans="1:6" x14ac:dyDescent="0.2">
      <c r="A35" s="14"/>
      <c r="B35" s="14"/>
      <c r="C35" s="14"/>
      <c r="D35" t="s">
        <v>124</v>
      </c>
      <c r="E35" s="11">
        <v>78831</v>
      </c>
      <c r="F35" s="12">
        <f t="shared" si="0"/>
        <v>173428.2</v>
      </c>
    </row>
    <row r="36" spans="1:6" x14ac:dyDescent="0.2">
      <c r="A36" s="14"/>
      <c r="B36" s="14"/>
      <c r="C36" s="14"/>
      <c r="D36" t="s">
        <v>125</v>
      </c>
      <c r="E36" s="11">
        <v>69267</v>
      </c>
      <c r="F36" s="12">
        <f t="shared" si="0"/>
        <v>152387.40000000002</v>
      </c>
    </row>
    <row r="37" spans="1:6" x14ac:dyDescent="0.2">
      <c r="A37" s="14"/>
      <c r="B37" s="14"/>
      <c r="C37" s="14"/>
      <c r="D37" t="s">
        <v>126</v>
      </c>
      <c r="E37" s="11">
        <v>54418</v>
      </c>
      <c r="F37" s="12">
        <f t="shared" si="0"/>
        <v>119719.6</v>
      </c>
    </row>
    <row r="38" spans="1:6" x14ac:dyDescent="0.2">
      <c r="A38" s="14"/>
      <c r="B38" s="14"/>
      <c r="C38" s="14"/>
      <c r="D38" t="s">
        <v>127</v>
      </c>
      <c r="E38" s="11">
        <v>18880</v>
      </c>
      <c r="F38" s="12">
        <f t="shared" si="0"/>
        <v>41536</v>
      </c>
    </row>
    <row r="39" spans="1:6" x14ac:dyDescent="0.2">
      <c r="A39" s="14"/>
      <c r="B39" s="14"/>
      <c r="C39" s="14"/>
      <c r="D39" t="s">
        <v>128</v>
      </c>
      <c r="E39" s="11">
        <v>7949</v>
      </c>
      <c r="F39" s="12">
        <f t="shared" si="0"/>
        <v>17487.800000000003</v>
      </c>
    </row>
    <row r="40" spans="1:6" ht="16" customHeight="1" x14ac:dyDescent="0.2">
      <c r="A40" s="14">
        <v>4</v>
      </c>
      <c r="B40" s="14" t="s">
        <v>18</v>
      </c>
      <c r="C40" s="14">
        <v>12</v>
      </c>
      <c r="D40" t="s">
        <v>129</v>
      </c>
      <c r="E40" s="11">
        <v>248134</v>
      </c>
      <c r="F40" s="12">
        <f t="shared" si="0"/>
        <v>545894.80000000005</v>
      </c>
    </row>
    <row r="41" spans="1:6" x14ac:dyDescent="0.2">
      <c r="A41" s="14"/>
      <c r="B41" s="14"/>
      <c r="C41" s="14"/>
      <c r="D41" t="s">
        <v>130</v>
      </c>
      <c r="E41" s="11">
        <v>215000</v>
      </c>
      <c r="F41" s="12">
        <f t="shared" si="0"/>
        <v>473000.00000000006</v>
      </c>
    </row>
    <row r="42" spans="1:6" x14ac:dyDescent="0.2">
      <c r="A42" s="14"/>
      <c r="B42" s="14"/>
      <c r="C42" s="14"/>
      <c r="D42" t="s">
        <v>131</v>
      </c>
      <c r="E42" s="11">
        <v>215000</v>
      </c>
      <c r="F42" s="12">
        <f t="shared" si="0"/>
        <v>473000.00000000006</v>
      </c>
    </row>
    <row r="43" spans="1:6" x14ac:dyDescent="0.2">
      <c r="A43" s="14"/>
      <c r="B43" s="14"/>
      <c r="C43" s="14"/>
      <c r="D43" t="s">
        <v>132</v>
      </c>
      <c r="E43" s="11">
        <v>120000</v>
      </c>
      <c r="F43" s="12">
        <f t="shared" si="0"/>
        <v>264000</v>
      </c>
    </row>
    <row r="44" spans="1:6" x14ac:dyDescent="0.2">
      <c r="A44" s="14"/>
      <c r="B44" s="14"/>
      <c r="C44" s="14"/>
      <c r="D44" t="s">
        <v>133</v>
      </c>
      <c r="E44" s="11">
        <v>125000</v>
      </c>
      <c r="F44" s="12">
        <f t="shared" si="0"/>
        <v>275000</v>
      </c>
    </row>
    <row r="45" spans="1:6" x14ac:dyDescent="0.2">
      <c r="A45" s="14"/>
      <c r="B45" s="14"/>
      <c r="C45" s="14"/>
      <c r="D45" t="s">
        <v>134</v>
      </c>
      <c r="E45" s="11">
        <v>116079</v>
      </c>
      <c r="F45" s="12">
        <f t="shared" si="0"/>
        <v>255373.80000000002</v>
      </c>
    </row>
    <row r="46" spans="1:6" x14ac:dyDescent="0.2">
      <c r="A46" s="14"/>
      <c r="B46" s="14"/>
      <c r="C46" s="14"/>
      <c r="D46" t="s">
        <v>135</v>
      </c>
      <c r="E46" s="11">
        <v>80000</v>
      </c>
      <c r="F46" s="12">
        <f t="shared" si="0"/>
        <v>176000</v>
      </c>
    </row>
    <row r="47" spans="1:6" x14ac:dyDescent="0.2">
      <c r="A47" s="14"/>
      <c r="B47" s="14"/>
      <c r="C47" s="14"/>
      <c r="D47" t="s">
        <v>136</v>
      </c>
      <c r="E47" s="11">
        <v>66079</v>
      </c>
      <c r="F47" s="12">
        <f t="shared" si="0"/>
        <v>145373.80000000002</v>
      </c>
    </row>
    <row r="48" spans="1:6" x14ac:dyDescent="0.2">
      <c r="A48" s="14"/>
      <c r="B48" s="14"/>
      <c r="C48" s="14"/>
      <c r="D48" t="s">
        <v>137</v>
      </c>
      <c r="E48" s="11">
        <v>66079</v>
      </c>
      <c r="F48" s="12">
        <f t="shared" si="0"/>
        <v>145373.80000000002</v>
      </c>
    </row>
    <row r="49" spans="1:6" x14ac:dyDescent="0.2">
      <c r="A49" s="14"/>
      <c r="B49" s="14"/>
      <c r="C49" s="14"/>
      <c r="D49" t="s">
        <v>138</v>
      </c>
      <c r="E49" s="11">
        <v>66079</v>
      </c>
      <c r="F49" s="12">
        <f t="shared" si="0"/>
        <v>145373.80000000002</v>
      </c>
    </row>
    <row r="50" spans="1:6" x14ac:dyDescent="0.2">
      <c r="A50" s="14"/>
      <c r="B50" s="14"/>
      <c r="C50" s="14"/>
      <c r="D50" t="s">
        <v>139</v>
      </c>
      <c r="E50" s="11">
        <v>63721</v>
      </c>
      <c r="F50" s="12">
        <f t="shared" si="0"/>
        <v>140186.20000000001</v>
      </c>
    </row>
    <row r="51" spans="1:6" x14ac:dyDescent="0.2">
      <c r="A51" s="14"/>
      <c r="B51" s="14"/>
      <c r="C51" s="14"/>
      <c r="D51" t="s">
        <v>140</v>
      </c>
      <c r="E51" s="11">
        <v>12772</v>
      </c>
      <c r="F51" s="12">
        <f t="shared" si="0"/>
        <v>28098.400000000001</v>
      </c>
    </row>
    <row r="52" spans="1:6" ht="16" customHeight="1" x14ac:dyDescent="0.2">
      <c r="A52" s="14">
        <v>5</v>
      </c>
      <c r="B52" s="14" t="s">
        <v>23</v>
      </c>
      <c r="C52" s="14">
        <v>12</v>
      </c>
      <c r="D52" t="s">
        <v>91</v>
      </c>
      <c r="E52" s="11">
        <v>214466</v>
      </c>
      <c r="F52" s="12">
        <f t="shared" si="0"/>
        <v>471825.2</v>
      </c>
    </row>
    <row r="53" spans="1:6" ht="16" customHeight="1" x14ac:dyDescent="0.2">
      <c r="A53" s="14"/>
      <c r="B53" s="14"/>
      <c r="C53" s="14"/>
      <c r="D53" t="s">
        <v>92</v>
      </c>
      <c r="E53" s="11">
        <v>214466</v>
      </c>
      <c r="F53" s="12">
        <f t="shared" si="0"/>
        <v>471825.2</v>
      </c>
    </row>
    <row r="54" spans="1:6" ht="16" customHeight="1" x14ac:dyDescent="0.2">
      <c r="A54" s="14"/>
      <c r="B54" s="14"/>
      <c r="C54" s="14"/>
      <c r="D54" t="s">
        <v>93</v>
      </c>
      <c r="E54" s="11">
        <v>190000</v>
      </c>
      <c r="F54" s="12">
        <f t="shared" si="0"/>
        <v>418000.00000000006</v>
      </c>
    </row>
    <row r="55" spans="1:6" x14ac:dyDescent="0.2">
      <c r="A55" s="14"/>
      <c r="B55" s="14"/>
      <c r="C55" s="14"/>
      <c r="D55" t="s">
        <v>94</v>
      </c>
      <c r="E55" s="11">
        <v>190000</v>
      </c>
      <c r="F55" s="12">
        <f t="shared" si="0"/>
        <v>418000.00000000006</v>
      </c>
    </row>
    <row r="56" spans="1:6" x14ac:dyDescent="0.2">
      <c r="A56" s="14"/>
      <c r="B56" s="14"/>
      <c r="C56" s="14"/>
      <c r="D56" t="s">
        <v>95</v>
      </c>
      <c r="E56" s="11">
        <v>150000</v>
      </c>
      <c r="F56" s="12">
        <f t="shared" si="0"/>
        <v>330000</v>
      </c>
    </row>
    <row r="57" spans="1:6" x14ac:dyDescent="0.2">
      <c r="A57" s="14"/>
      <c r="B57" s="14"/>
      <c r="C57" s="14"/>
      <c r="D57" t="s">
        <v>96</v>
      </c>
      <c r="E57" s="11">
        <v>150000</v>
      </c>
      <c r="F57" s="12">
        <f t="shared" si="0"/>
        <v>330000</v>
      </c>
    </row>
    <row r="58" spans="1:6" x14ac:dyDescent="0.2">
      <c r="A58" s="14"/>
      <c r="B58" s="14"/>
      <c r="C58" s="14"/>
      <c r="D58" t="s">
        <v>97</v>
      </c>
      <c r="E58" s="11">
        <v>91981</v>
      </c>
      <c r="F58" s="12">
        <f t="shared" si="0"/>
        <v>202358.2</v>
      </c>
    </row>
    <row r="59" spans="1:6" x14ac:dyDescent="0.2">
      <c r="A59" s="14"/>
      <c r="B59" s="14"/>
      <c r="C59" s="14"/>
      <c r="D59" t="s">
        <v>98</v>
      </c>
      <c r="E59" s="11">
        <v>80823</v>
      </c>
      <c r="F59" s="12">
        <f t="shared" si="0"/>
        <v>177810.6</v>
      </c>
    </row>
    <row r="60" spans="1:6" x14ac:dyDescent="0.2">
      <c r="A60" s="14"/>
      <c r="B60" s="14"/>
      <c r="C60" s="14"/>
      <c r="D60" t="s">
        <v>99</v>
      </c>
      <c r="E60" s="11">
        <v>69267</v>
      </c>
      <c r="F60" s="12">
        <f t="shared" si="0"/>
        <v>152387.40000000002</v>
      </c>
    </row>
    <row r="61" spans="1:6" x14ac:dyDescent="0.2">
      <c r="A61" s="14"/>
      <c r="B61" s="14"/>
      <c r="C61" s="14"/>
      <c r="D61" t="s">
        <v>100</v>
      </c>
      <c r="E61" s="11">
        <v>66079</v>
      </c>
      <c r="F61" s="12">
        <f t="shared" si="0"/>
        <v>145373.80000000002</v>
      </c>
    </row>
    <row r="62" spans="1:6" x14ac:dyDescent="0.2">
      <c r="A62" s="14"/>
      <c r="B62" s="14"/>
      <c r="C62" s="14"/>
      <c r="D62" t="s">
        <v>101</v>
      </c>
      <c r="E62" s="11">
        <v>66079</v>
      </c>
      <c r="F62" s="12">
        <f t="shared" si="0"/>
        <v>145373.80000000002</v>
      </c>
    </row>
    <row r="63" spans="1:6" x14ac:dyDescent="0.2">
      <c r="A63" s="14"/>
      <c r="B63" s="14"/>
      <c r="C63" s="14"/>
      <c r="D63" t="s">
        <v>141</v>
      </c>
      <c r="E63" s="11">
        <v>15548</v>
      </c>
      <c r="F63" s="12">
        <f t="shared" si="0"/>
        <v>34205.600000000006</v>
      </c>
    </row>
    <row r="64" spans="1:6" x14ac:dyDescent="0.2">
      <c r="A64" s="14">
        <v>6</v>
      </c>
      <c r="B64" s="14" t="s">
        <v>28</v>
      </c>
      <c r="C64" s="14">
        <v>12</v>
      </c>
      <c r="D64" t="s">
        <v>142</v>
      </c>
      <c r="E64" s="11">
        <v>222400</v>
      </c>
      <c r="F64" s="12">
        <f t="shared" si="0"/>
        <v>489280.00000000006</v>
      </c>
    </row>
    <row r="65" spans="1:6" x14ac:dyDescent="0.2">
      <c r="A65" s="14"/>
      <c r="B65" s="14"/>
      <c r="C65" s="14"/>
      <c r="D65" t="s">
        <v>143</v>
      </c>
      <c r="E65" s="11">
        <v>222060</v>
      </c>
      <c r="F65" s="12">
        <f t="shared" si="0"/>
        <v>488532.00000000006</v>
      </c>
    </row>
    <row r="66" spans="1:6" x14ac:dyDescent="0.2">
      <c r="A66" s="14"/>
      <c r="B66" s="14"/>
      <c r="C66" s="14"/>
      <c r="D66" t="s">
        <v>144</v>
      </c>
      <c r="E66" s="11">
        <v>209000</v>
      </c>
      <c r="F66" s="12">
        <f t="shared" si="0"/>
        <v>459800.00000000006</v>
      </c>
    </row>
    <row r="67" spans="1:6" x14ac:dyDescent="0.2">
      <c r="A67" s="14"/>
      <c r="B67" s="14"/>
      <c r="C67" s="14"/>
      <c r="D67" t="s">
        <v>145</v>
      </c>
      <c r="E67" s="11">
        <v>200000</v>
      </c>
      <c r="F67" s="12">
        <f t="shared" ref="F67:F130" si="1">E67*2.2</f>
        <v>440000.00000000006</v>
      </c>
    </row>
    <row r="68" spans="1:6" x14ac:dyDescent="0.2">
      <c r="A68" s="14"/>
      <c r="B68" s="14"/>
      <c r="C68" s="14"/>
      <c r="D68" t="s">
        <v>146</v>
      </c>
      <c r="E68" s="11">
        <v>79999</v>
      </c>
      <c r="F68" s="12">
        <f t="shared" si="1"/>
        <v>175997.80000000002</v>
      </c>
    </row>
    <row r="69" spans="1:6" x14ac:dyDescent="0.2">
      <c r="A69" s="14"/>
      <c r="B69" s="14"/>
      <c r="C69" s="14"/>
      <c r="D69" t="s">
        <v>147</v>
      </c>
      <c r="E69" s="11">
        <v>78831</v>
      </c>
      <c r="F69" s="12">
        <f t="shared" si="1"/>
        <v>173428.2</v>
      </c>
    </row>
    <row r="70" spans="1:6" x14ac:dyDescent="0.2">
      <c r="A70" s="14"/>
      <c r="B70" s="14"/>
      <c r="C70" s="14"/>
      <c r="D70" t="s">
        <v>148</v>
      </c>
      <c r="E70" s="11">
        <v>78831</v>
      </c>
      <c r="F70" s="12">
        <f t="shared" si="1"/>
        <v>173428.2</v>
      </c>
    </row>
    <row r="71" spans="1:6" x14ac:dyDescent="0.2">
      <c r="A71" s="14"/>
      <c r="B71" s="14"/>
      <c r="C71" s="14"/>
      <c r="D71" t="s">
        <v>149</v>
      </c>
      <c r="E71" s="11">
        <v>75694</v>
      </c>
      <c r="F71" s="12">
        <f t="shared" si="1"/>
        <v>166526.80000000002</v>
      </c>
    </row>
    <row r="72" spans="1:6" x14ac:dyDescent="0.2">
      <c r="A72" s="14"/>
      <c r="B72" s="14"/>
      <c r="C72" s="14"/>
      <c r="D72" t="s">
        <v>150</v>
      </c>
      <c r="E72" s="11">
        <v>68595</v>
      </c>
      <c r="F72" s="12">
        <f t="shared" si="1"/>
        <v>150909</v>
      </c>
    </row>
    <row r="73" spans="1:6" x14ac:dyDescent="0.2">
      <c r="A73" s="14"/>
      <c r="B73" s="14"/>
      <c r="C73" s="14"/>
      <c r="D73" t="s">
        <v>151</v>
      </c>
      <c r="E73" s="11">
        <v>66079</v>
      </c>
      <c r="F73" s="12">
        <f t="shared" si="1"/>
        <v>145373.80000000002</v>
      </c>
    </row>
    <row r="74" spans="1:6" x14ac:dyDescent="0.2">
      <c r="A74" s="14"/>
      <c r="B74" s="14"/>
      <c r="C74" s="14"/>
      <c r="D74" t="s">
        <v>152</v>
      </c>
      <c r="E74" s="11">
        <v>66079</v>
      </c>
      <c r="F74" s="12">
        <f t="shared" si="1"/>
        <v>145373.80000000002</v>
      </c>
    </row>
    <row r="75" spans="1:6" x14ac:dyDescent="0.2">
      <c r="A75" s="14"/>
      <c r="B75" s="14"/>
      <c r="C75" s="14"/>
      <c r="D75" t="s">
        <v>153</v>
      </c>
      <c r="E75" s="11">
        <v>35110</v>
      </c>
      <c r="F75" s="12">
        <f t="shared" si="1"/>
        <v>77242</v>
      </c>
    </row>
    <row r="76" spans="1:6" x14ac:dyDescent="0.2">
      <c r="A76" s="14">
        <v>7</v>
      </c>
      <c r="B76" s="14" t="s">
        <v>33</v>
      </c>
      <c r="C76" s="14">
        <v>16</v>
      </c>
      <c r="D76" t="s">
        <v>154</v>
      </c>
      <c r="E76" s="11">
        <v>269244</v>
      </c>
      <c r="F76" s="12">
        <f t="shared" si="1"/>
        <v>592336.80000000005</v>
      </c>
    </row>
    <row r="77" spans="1:6" x14ac:dyDescent="0.2">
      <c r="A77" s="14"/>
      <c r="B77" s="14"/>
      <c r="C77" s="14"/>
      <c r="D77" t="s">
        <v>155</v>
      </c>
      <c r="E77" s="11">
        <v>214466</v>
      </c>
      <c r="F77" s="12">
        <f t="shared" si="1"/>
        <v>471825.2</v>
      </c>
    </row>
    <row r="78" spans="1:6" x14ac:dyDescent="0.2">
      <c r="A78" s="14"/>
      <c r="B78" s="14"/>
      <c r="C78" s="14"/>
      <c r="D78" t="s">
        <v>156</v>
      </c>
      <c r="E78" s="11">
        <v>100000</v>
      </c>
      <c r="F78" s="12">
        <f t="shared" si="1"/>
        <v>220000.00000000003</v>
      </c>
    </row>
    <row r="79" spans="1:6" x14ac:dyDescent="0.2">
      <c r="A79" s="14"/>
      <c r="B79" s="14"/>
      <c r="C79" s="14"/>
      <c r="D79" t="s">
        <v>157</v>
      </c>
      <c r="E79" s="11">
        <v>100000</v>
      </c>
      <c r="F79" s="12">
        <f t="shared" si="1"/>
        <v>220000.00000000003</v>
      </c>
    </row>
    <row r="80" spans="1:6" x14ac:dyDescent="0.2">
      <c r="A80" s="14"/>
      <c r="B80" s="14"/>
      <c r="C80" s="14"/>
      <c r="D80" t="s">
        <v>158</v>
      </c>
      <c r="E80" s="11">
        <v>90000</v>
      </c>
      <c r="F80" s="12">
        <f t="shared" si="1"/>
        <v>198000.00000000003</v>
      </c>
    </row>
    <row r="81" spans="1:6" x14ac:dyDescent="0.2">
      <c r="A81" s="14"/>
      <c r="B81" s="14"/>
      <c r="C81" s="14"/>
      <c r="D81" t="s">
        <v>159</v>
      </c>
      <c r="E81" s="11">
        <v>88261</v>
      </c>
      <c r="F81" s="12">
        <f t="shared" si="1"/>
        <v>194174.2</v>
      </c>
    </row>
    <row r="82" spans="1:6" x14ac:dyDescent="0.2">
      <c r="A82" s="14"/>
      <c r="B82" s="14"/>
      <c r="C82" s="14"/>
      <c r="D82" t="s">
        <v>160</v>
      </c>
      <c r="E82" s="11">
        <v>85000</v>
      </c>
      <c r="F82" s="12">
        <f t="shared" si="1"/>
        <v>187000.00000000003</v>
      </c>
    </row>
    <row r="83" spans="1:6" x14ac:dyDescent="0.2">
      <c r="A83" s="14"/>
      <c r="B83" s="14"/>
      <c r="C83" s="14"/>
      <c r="D83" t="s">
        <v>161</v>
      </c>
      <c r="E83" s="11">
        <v>83371</v>
      </c>
      <c r="F83" s="12">
        <f t="shared" si="1"/>
        <v>183416.2</v>
      </c>
    </row>
    <row r="84" spans="1:6" x14ac:dyDescent="0.2">
      <c r="A84" s="14"/>
      <c r="B84" s="14"/>
      <c r="C84" s="14"/>
      <c r="D84" t="s">
        <v>162</v>
      </c>
      <c r="E84" s="11">
        <v>78066</v>
      </c>
      <c r="F84" s="12">
        <f t="shared" si="1"/>
        <v>171745.2</v>
      </c>
    </row>
    <row r="85" spans="1:6" x14ac:dyDescent="0.2">
      <c r="A85" s="14"/>
      <c r="B85" s="14"/>
      <c r="C85" s="14"/>
      <c r="D85" t="s">
        <v>163</v>
      </c>
      <c r="E85" s="11">
        <v>69267</v>
      </c>
      <c r="F85" s="12">
        <f t="shared" si="1"/>
        <v>152387.40000000002</v>
      </c>
    </row>
    <row r="86" spans="1:6" x14ac:dyDescent="0.2">
      <c r="A86" s="14"/>
      <c r="B86" s="14"/>
      <c r="C86" s="14"/>
      <c r="D86" t="s">
        <v>164</v>
      </c>
      <c r="E86" s="11">
        <v>52333</v>
      </c>
      <c r="F86" s="12">
        <f t="shared" si="1"/>
        <v>115132.6</v>
      </c>
    </row>
    <row r="87" spans="1:6" x14ac:dyDescent="0.2">
      <c r="A87" s="14"/>
      <c r="B87" s="14"/>
      <c r="C87" s="14"/>
      <c r="D87" t="s">
        <v>165</v>
      </c>
      <c r="E87" s="11">
        <v>23322</v>
      </c>
      <c r="F87" s="12">
        <f t="shared" si="1"/>
        <v>51308.4</v>
      </c>
    </row>
    <row r="88" spans="1:6" x14ac:dyDescent="0.2">
      <c r="A88" s="14"/>
      <c r="B88" s="14"/>
      <c r="C88" s="14"/>
      <c r="D88" t="s">
        <v>166</v>
      </c>
      <c r="E88" s="11">
        <v>7949</v>
      </c>
      <c r="F88" s="12">
        <f t="shared" si="1"/>
        <v>17487.800000000003</v>
      </c>
    </row>
    <row r="89" spans="1:6" x14ac:dyDescent="0.2">
      <c r="A89" s="14"/>
      <c r="B89" s="14"/>
      <c r="C89" s="14"/>
      <c r="D89" t="s">
        <v>167</v>
      </c>
      <c r="E89" s="11">
        <v>4442</v>
      </c>
      <c r="F89" s="12">
        <f t="shared" si="1"/>
        <v>9772.4000000000015</v>
      </c>
    </row>
    <row r="90" spans="1:6" x14ac:dyDescent="0.2">
      <c r="A90" s="14"/>
      <c r="B90" s="14"/>
      <c r="C90" s="14"/>
      <c r="D90" t="s">
        <v>168</v>
      </c>
      <c r="E90" s="11">
        <v>3975</v>
      </c>
      <c r="F90" s="12">
        <f t="shared" si="1"/>
        <v>8745</v>
      </c>
    </row>
    <row r="91" spans="1:6" x14ac:dyDescent="0.2">
      <c r="A91" s="14"/>
      <c r="B91" s="14"/>
      <c r="C91" s="14"/>
      <c r="D91" t="s">
        <v>169</v>
      </c>
      <c r="E91" s="11">
        <v>1987</v>
      </c>
      <c r="F91" s="12">
        <f t="shared" si="1"/>
        <v>4371.4000000000005</v>
      </c>
    </row>
    <row r="92" spans="1:6" x14ac:dyDescent="0.2">
      <c r="A92" s="14">
        <v>8</v>
      </c>
      <c r="B92" s="14" t="s">
        <v>38</v>
      </c>
      <c r="C92" s="14">
        <v>12</v>
      </c>
      <c r="D92" t="s">
        <v>170</v>
      </c>
      <c r="E92" s="11">
        <v>202000</v>
      </c>
      <c r="F92" s="12">
        <f t="shared" si="1"/>
        <v>444400.00000000006</v>
      </c>
    </row>
    <row r="93" spans="1:6" x14ac:dyDescent="0.2">
      <c r="A93" s="14"/>
      <c r="B93" s="14"/>
      <c r="C93" s="14"/>
      <c r="D93" t="s">
        <v>171</v>
      </c>
      <c r="E93" s="11">
        <v>202000</v>
      </c>
      <c r="F93" s="12">
        <f t="shared" si="1"/>
        <v>444400.00000000006</v>
      </c>
    </row>
    <row r="94" spans="1:6" x14ac:dyDescent="0.2">
      <c r="A94" s="14"/>
      <c r="B94" s="14"/>
      <c r="C94" s="14"/>
      <c r="D94" t="s">
        <v>172</v>
      </c>
      <c r="E94" s="11">
        <v>195000</v>
      </c>
      <c r="F94" s="12">
        <f t="shared" si="1"/>
        <v>429000.00000000006</v>
      </c>
    </row>
    <row r="95" spans="1:6" x14ac:dyDescent="0.2">
      <c r="A95" s="14"/>
      <c r="B95" s="14"/>
      <c r="C95" s="14"/>
      <c r="D95" t="s">
        <v>173</v>
      </c>
      <c r="E95" s="11">
        <v>137500</v>
      </c>
      <c r="F95" s="12">
        <f t="shared" si="1"/>
        <v>302500</v>
      </c>
    </row>
    <row r="96" spans="1:6" x14ac:dyDescent="0.2">
      <c r="A96" s="14"/>
      <c r="B96" s="14"/>
      <c r="C96" s="14"/>
      <c r="D96" t="s">
        <v>174</v>
      </c>
      <c r="E96" s="11">
        <v>116331</v>
      </c>
      <c r="F96" s="12">
        <f t="shared" si="1"/>
        <v>255928.2</v>
      </c>
    </row>
    <row r="97" spans="1:6" x14ac:dyDescent="0.2">
      <c r="A97" s="14"/>
      <c r="B97" s="14"/>
      <c r="C97" s="14"/>
      <c r="D97" t="s">
        <v>175</v>
      </c>
      <c r="E97" s="11">
        <v>85000</v>
      </c>
      <c r="F97" s="12">
        <f t="shared" si="1"/>
        <v>187000.00000000003</v>
      </c>
    </row>
    <row r="98" spans="1:6" x14ac:dyDescent="0.2">
      <c r="A98" s="14"/>
      <c r="B98" s="14"/>
      <c r="C98" s="14"/>
      <c r="D98" t="s">
        <v>176</v>
      </c>
      <c r="E98" s="11">
        <v>78066</v>
      </c>
      <c r="F98" s="12">
        <f t="shared" si="1"/>
        <v>171745.2</v>
      </c>
    </row>
    <row r="99" spans="1:6" x14ac:dyDescent="0.2">
      <c r="A99" s="14"/>
      <c r="B99" s="14"/>
      <c r="C99" s="14"/>
      <c r="D99" t="s">
        <v>177</v>
      </c>
      <c r="E99" s="11">
        <v>78066</v>
      </c>
      <c r="F99" s="12">
        <f t="shared" si="1"/>
        <v>171745.2</v>
      </c>
    </row>
    <row r="100" spans="1:6" x14ac:dyDescent="0.2">
      <c r="A100" s="14"/>
      <c r="B100" s="14"/>
      <c r="C100" s="14"/>
      <c r="D100" t="s">
        <v>178</v>
      </c>
      <c r="E100" s="11">
        <v>72455</v>
      </c>
      <c r="F100" s="12">
        <f t="shared" si="1"/>
        <v>159401</v>
      </c>
    </row>
    <row r="101" spans="1:6" x14ac:dyDescent="0.2">
      <c r="A101" s="14"/>
      <c r="B101" s="14"/>
      <c r="C101" s="14"/>
      <c r="D101" t="s">
        <v>179</v>
      </c>
      <c r="E101" s="11">
        <v>69267</v>
      </c>
      <c r="F101" s="12">
        <f t="shared" si="1"/>
        <v>152387.40000000002</v>
      </c>
    </row>
    <row r="102" spans="1:6" x14ac:dyDescent="0.2">
      <c r="A102" s="14"/>
      <c r="B102" s="14"/>
      <c r="C102" s="14"/>
      <c r="D102" t="s">
        <v>180</v>
      </c>
      <c r="E102" s="11">
        <v>66079</v>
      </c>
      <c r="F102" s="12">
        <f t="shared" si="1"/>
        <v>145373.80000000002</v>
      </c>
    </row>
    <row r="103" spans="1:6" x14ac:dyDescent="0.2">
      <c r="A103" s="14"/>
      <c r="B103" s="14"/>
      <c r="C103" s="14"/>
      <c r="D103" t="s">
        <v>181</v>
      </c>
      <c r="E103" s="11">
        <v>10550</v>
      </c>
      <c r="F103" s="12">
        <f t="shared" si="1"/>
        <v>23210.000000000004</v>
      </c>
    </row>
    <row r="104" spans="1:6" x14ac:dyDescent="0.2">
      <c r="A104" s="14">
        <v>9</v>
      </c>
      <c r="B104" s="14" t="s">
        <v>43</v>
      </c>
      <c r="C104" s="14">
        <v>12</v>
      </c>
      <c r="D104" t="s">
        <v>182</v>
      </c>
      <c r="E104" s="11">
        <v>223000</v>
      </c>
      <c r="F104" s="12">
        <f t="shared" si="1"/>
        <v>490600.00000000006</v>
      </c>
    </row>
    <row r="105" spans="1:6" x14ac:dyDescent="0.2">
      <c r="A105" s="14"/>
      <c r="B105" s="14"/>
      <c r="C105" s="14"/>
      <c r="D105" t="s">
        <v>183</v>
      </c>
      <c r="E105" s="11">
        <v>185000</v>
      </c>
      <c r="F105" s="12">
        <f t="shared" si="1"/>
        <v>407000.00000000006</v>
      </c>
    </row>
    <row r="106" spans="1:6" x14ac:dyDescent="0.2">
      <c r="A106" s="14"/>
      <c r="B106" s="14"/>
      <c r="C106" s="14"/>
      <c r="D106" t="s">
        <v>184</v>
      </c>
      <c r="E106" s="11">
        <v>160000</v>
      </c>
      <c r="F106" s="12">
        <f t="shared" si="1"/>
        <v>352000</v>
      </c>
    </row>
    <row r="107" spans="1:6" x14ac:dyDescent="0.2">
      <c r="A107" s="14"/>
      <c r="B107" s="14"/>
      <c r="C107" s="14"/>
      <c r="D107" t="s">
        <v>185</v>
      </c>
      <c r="E107" s="11">
        <v>145000</v>
      </c>
      <c r="F107" s="12">
        <f t="shared" si="1"/>
        <v>319000</v>
      </c>
    </row>
    <row r="108" spans="1:6" x14ac:dyDescent="0.2">
      <c r="A108" s="14"/>
      <c r="B108" s="14"/>
      <c r="C108" s="14"/>
      <c r="D108" t="s">
        <v>186</v>
      </c>
      <c r="E108" s="11">
        <v>125000</v>
      </c>
      <c r="F108" s="12">
        <f t="shared" si="1"/>
        <v>275000</v>
      </c>
    </row>
    <row r="109" spans="1:6" x14ac:dyDescent="0.2">
      <c r="A109" s="14"/>
      <c r="B109" s="14"/>
      <c r="C109" s="14"/>
      <c r="D109" t="s">
        <v>187</v>
      </c>
      <c r="E109" s="11">
        <v>100000</v>
      </c>
      <c r="F109" s="12">
        <f t="shared" si="1"/>
        <v>220000.00000000003</v>
      </c>
    </row>
    <row r="110" spans="1:6" x14ac:dyDescent="0.2">
      <c r="A110" s="14"/>
      <c r="B110" s="14"/>
      <c r="C110" s="14"/>
      <c r="D110" t="s">
        <v>188</v>
      </c>
      <c r="E110" s="11">
        <v>95000</v>
      </c>
      <c r="F110" s="12">
        <f t="shared" si="1"/>
        <v>209000.00000000003</v>
      </c>
    </row>
    <row r="111" spans="1:6" x14ac:dyDescent="0.2">
      <c r="A111" s="14"/>
      <c r="B111" s="14"/>
      <c r="C111" s="14"/>
      <c r="D111" t="s">
        <v>189</v>
      </c>
      <c r="E111" s="11">
        <v>78066</v>
      </c>
      <c r="F111" s="12">
        <f t="shared" si="1"/>
        <v>171745.2</v>
      </c>
    </row>
    <row r="112" spans="1:6" x14ac:dyDescent="0.2">
      <c r="A112" s="14"/>
      <c r="B112" s="14"/>
      <c r="C112" s="14"/>
      <c r="D112" t="s">
        <v>190</v>
      </c>
      <c r="E112" s="11">
        <v>74909</v>
      </c>
      <c r="F112" s="12">
        <f t="shared" si="1"/>
        <v>164799.80000000002</v>
      </c>
    </row>
    <row r="113" spans="1:6" x14ac:dyDescent="0.2">
      <c r="A113" s="14"/>
      <c r="B113" s="14"/>
      <c r="C113" s="14"/>
      <c r="D113" t="s">
        <v>191</v>
      </c>
      <c r="E113" s="11">
        <v>72455</v>
      </c>
      <c r="F113" s="12">
        <f t="shared" si="1"/>
        <v>159401</v>
      </c>
    </row>
    <row r="114" spans="1:6" x14ac:dyDescent="0.2">
      <c r="A114" s="14"/>
      <c r="B114" s="14"/>
      <c r="C114" s="14"/>
      <c r="D114" t="s">
        <v>192</v>
      </c>
      <c r="E114" s="11">
        <v>69267</v>
      </c>
      <c r="F114" s="12">
        <f t="shared" si="1"/>
        <v>152387.40000000002</v>
      </c>
    </row>
    <row r="115" spans="1:6" x14ac:dyDescent="0.2">
      <c r="A115" s="14"/>
      <c r="B115" s="14"/>
      <c r="C115" s="14"/>
      <c r="D115" t="s">
        <v>193</v>
      </c>
      <c r="E115" s="11">
        <v>25543</v>
      </c>
      <c r="F115" s="12">
        <f t="shared" si="1"/>
        <v>56194.600000000006</v>
      </c>
    </row>
    <row r="116" spans="1:6" x14ac:dyDescent="0.2">
      <c r="A116" s="14">
        <v>10</v>
      </c>
      <c r="B116" s="14" t="s">
        <v>48</v>
      </c>
      <c r="C116" s="14">
        <v>12</v>
      </c>
      <c r="D116" t="s">
        <v>194</v>
      </c>
      <c r="E116" s="11">
        <v>225000</v>
      </c>
      <c r="F116" s="12">
        <f t="shared" si="1"/>
        <v>495000.00000000006</v>
      </c>
    </row>
    <row r="117" spans="1:6" x14ac:dyDescent="0.2">
      <c r="A117" s="14"/>
      <c r="B117" s="14"/>
      <c r="C117" s="14"/>
      <c r="D117" t="s">
        <v>195</v>
      </c>
      <c r="E117" s="11">
        <v>214466</v>
      </c>
      <c r="F117" s="12">
        <f t="shared" si="1"/>
        <v>471825.2</v>
      </c>
    </row>
    <row r="118" spans="1:6" x14ac:dyDescent="0.2">
      <c r="A118" s="14"/>
      <c r="B118" s="14"/>
      <c r="C118" s="14"/>
      <c r="D118" t="s">
        <v>196</v>
      </c>
      <c r="E118" s="11">
        <v>195000</v>
      </c>
      <c r="F118" s="12">
        <f t="shared" si="1"/>
        <v>429000.00000000006</v>
      </c>
    </row>
    <row r="119" spans="1:6" x14ac:dyDescent="0.2">
      <c r="A119" s="14"/>
      <c r="B119" s="14"/>
      <c r="C119" s="14"/>
      <c r="D119" t="s">
        <v>197</v>
      </c>
      <c r="E119" s="11">
        <v>195000</v>
      </c>
      <c r="F119" s="12">
        <f t="shared" si="1"/>
        <v>429000.00000000006</v>
      </c>
    </row>
    <row r="120" spans="1:6" x14ac:dyDescent="0.2">
      <c r="A120" s="14"/>
      <c r="B120" s="14"/>
      <c r="C120" s="14"/>
      <c r="D120" t="s">
        <v>198</v>
      </c>
      <c r="E120" s="11">
        <v>186000</v>
      </c>
      <c r="F120" s="12">
        <f t="shared" si="1"/>
        <v>409200.00000000006</v>
      </c>
    </row>
    <row r="121" spans="1:6" x14ac:dyDescent="0.2">
      <c r="A121" s="14"/>
      <c r="B121" s="14"/>
      <c r="C121" s="14"/>
      <c r="D121" t="s">
        <v>199</v>
      </c>
      <c r="E121" s="11">
        <v>96408</v>
      </c>
      <c r="F121" s="12">
        <f t="shared" si="1"/>
        <v>212097.6</v>
      </c>
    </row>
    <row r="122" spans="1:6" x14ac:dyDescent="0.2">
      <c r="A122" s="14"/>
      <c r="B122" s="14"/>
      <c r="C122" s="14"/>
      <c r="D122" t="s">
        <v>200</v>
      </c>
      <c r="E122" s="11">
        <v>90000</v>
      </c>
      <c r="F122" s="12">
        <f t="shared" si="1"/>
        <v>198000.00000000003</v>
      </c>
    </row>
    <row r="123" spans="1:6" x14ac:dyDescent="0.2">
      <c r="A123" s="14"/>
      <c r="B123" s="14"/>
      <c r="C123" s="14"/>
      <c r="D123" t="s">
        <v>201</v>
      </c>
      <c r="E123" s="11">
        <v>78831</v>
      </c>
      <c r="F123" s="12">
        <f t="shared" si="1"/>
        <v>173428.2</v>
      </c>
    </row>
    <row r="124" spans="1:6" x14ac:dyDescent="0.2">
      <c r="A124" s="14"/>
      <c r="B124" s="14"/>
      <c r="C124" s="14"/>
      <c r="D124" t="s">
        <v>202</v>
      </c>
      <c r="E124" s="11">
        <v>78831</v>
      </c>
      <c r="F124" s="12">
        <f t="shared" si="1"/>
        <v>173428.2</v>
      </c>
    </row>
    <row r="125" spans="1:6" x14ac:dyDescent="0.2">
      <c r="A125" s="14"/>
      <c r="B125" s="14"/>
      <c r="C125" s="14"/>
      <c r="D125" t="s">
        <v>203</v>
      </c>
      <c r="E125" s="11">
        <v>48865</v>
      </c>
      <c r="F125" s="12">
        <f t="shared" si="1"/>
        <v>107503.00000000001</v>
      </c>
    </row>
    <row r="126" spans="1:6" x14ac:dyDescent="0.2">
      <c r="A126" s="14"/>
      <c r="B126" s="14"/>
      <c r="C126" s="14"/>
      <c r="D126" t="s">
        <v>204</v>
      </c>
      <c r="E126" s="11">
        <v>42397</v>
      </c>
      <c r="F126" s="12">
        <f t="shared" si="1"/>
        <v>93273.400000000009</v>
      </c>
    </row>
    <row r="127" spans="1:6" x14ac:dyDescent="0.2">
      <c r="A127" s="14"/>
      <c r="B127" s="14"/>
      <c r="C127" s="14"/>
      <c r="D127" t="s">
        <v>205</v>
      </c>
      <c r="E127" s="11">
        <v>13882</v>
      </c>
      <c r="F127" s="12">
        <f t="shared" si="1"/>
        <v>30540.400000000001</v>
      </c>
    </row>
    <row r="128" spans="1:6" x14ac:dyDescent="0.2">
      <c r="A128" s="14">
        <v>11</v>
      </c>
      <c r="B128" s="14" t="s">
        <v>52</v>
      </c>
      <c r="C128" s="14">
        <v>12</v>
      </c>
      <c r="D128" t="s">
        <v>206</v>
      </c>
      <c r="E128" s="11">
        <v>210000</v>
      </c>
      <c r="F128" s="12">
        <f t="shared" si="1"/>
        <v>462000.00000000006</v>
      </c>
    </row>
    <row r="129" spans="1:6" x14ac:dyDescent="0.2">
      <c r="A129" s="14"/>
      <c r="B129" s="14"/>
      <c r="C129" s="14"/>
      <c r="D129" t="s">
        <v>207</v>
      </c>
      <c r="E129" s="11">
        <v>170000</v>
      </c>
      <c r="F129" s="12">
        <f t="shared" si="1"/>
        <v>374000.00000000006</v>
      </c>
    </row>
    <row r="130" spans="1:6" x14ac:dyDescent="0.2">
      <c r="A130" s="14"/>
      <c r="B130" s="14"/>
      <c r="C130" s="14"/>
      <c r="D130" t="s">
        <v>208</v>
      </c>
      <c r="E130" s="11">
        <v>90000</v>
      </c>
      <c r="F130" s="12">
        <f t="shared" si="1"/>
        <v>198000.00000000003</v>
      </c>
    </row>
    <row r="131" spans="1:6" x14ac:dyDescent="0.2">
      <c r="A131" s="14"/>
      <c r="B131" s="14"/>
      <c r="C131" s="14"/>
      <c r="D131" t="s">
        <v>209</v>
      </c>
      <c r="E131" s="11">
        <v>80823</v>
      </c>
      <c r="F131" s="12">
        <f t="shared" ref="F131:F164" si="2">E131*2.2</f>
        <v>177810.6</v>
      </c>
    </row>
    <row r="132" spans="1:6" x14ac:dyDescent="0.2">
      <c r="A132" s="14"/>
      <c r="B132" s="14"/>
      <c r="C132" s="14"/>
      <c r="D132" t="s">
        <v>210</v>
      </c>
      <c r="E132" s="11">
        <v>78831</v>
      </c>
      <c r="F132" s="12">
        <f t="shared" si="2"/>
        <v>173428.2</v>
      </c>
    </row>
    <row r="133" spans="1:6" x14ac:dyDescent="0.2">
      <c r="A133" s="14"/>
      <c r="B133" s="14"/>
      <c r="C133" s="14"/>
      <c r="D133" t="s">
        <v>211</v>
      </c>
      <c r="E133" s="11">
        <v>75643</v>
      </c>
      <c r="F133" s="12">
        <f t="shared" si="2"/>
        <v>166414.6</v>
      </c>
    </row>
    <row r="134" spans="1:6" x14ac:dyDescent="0.2">
      <c r="A134" s="14"/>
      <c r="B134" s="14"/>
      <c r="C134" s="14"/>
      <c r="D134" t="s">
        <v>212</v>
      </c>
      <c r="E134" s="11">
        <v>75643</v>
      </c>
      <c r="F134" s="12">
        <f t="shared" si="2"/>
        <v>166414.6</v>
      </c>
    </row>
    <row r="135" spans="1:6" x14ac:dyDescent="0.2">
      <c r="A135" s="14"/>
      <c r="B135" s="14"/>
      <c r="C135" s="14"/>
      <c r="D135" t="s">
        <v>213</v>
      </c>
      <c r="E135" s="11">
        <v>74909</v>
      </c>
      <c r="F135" s="12">
        <f t="shared" si="2"/>
        <v>164799.80000000002</v>
      </c>
    </row>
    <row r="136" spans="1:6" x14ac:dyDescent="0.2">
      <c r="A136" s="14"/>
      <c r="B136" s="14"/>
      <c r="C136" s="14"/>
      <c r="D136" t="s">
        <v>214</v>
      </c>
      <c r="E136" s="11">
        <v>72455</v>
      </c>
      <c r="F136" s="12">
        <f t="shared" si="2"/>
        <v>159401</v>
      </c>
    </row>
    <row r="137" spans="1:6" x14ac:dyDescent="0.2">
      <c r="A137" s="14"/>
      <c r="B137" s="14"/>
      <c r="C137" s="14"/>
      <c r="D137" t="s">
        <v>215</v>
      </c>
      <c r="E137" s="11">
        <v>69267</v>
      </c>
      <c r="F137" s="12">
        <f t="shared" si="2"/>
        <v>152387.40000000002</v>
      </c>
    </row>
    <row r="138" spans="1:6" x14ac:dyDescent="0.2">
      <c r="A138" s="14"/>
      <c r="B138" s="14"/>
      <c r="C138" s="14"/>
      <c r="D138" t="s">
        <v>216</v>
      </c>
      <c r="E138" s="11">
        <v>25173</v>
      </c>
      <c r="F138" s="12">
        <f t="shared" si="2"/>
        <v>55380.600000000006</v>
      </c>
    </row>
    <row r="139" spans="1:6" x14ac:dyDescent="0.2">
      <c r="A139" s="14"/>
      <c r="B139" s="14"/>
      <c r="C139" s="14"/>
      <c r="D139" t="s">
        <v>217</v>
      </c>
      <c r="E139" s="11">
        <v>17769</v>
      </c>
      <c r="F139" s="12">
        <f t="shared" si="2"/>
        <v>39091.800000000003</v>
      </c>
    </row>
    <row r="140" spans="1:6" x14ac:dyDescent="0.2">
      <c r="A140" s="14">
        <v>12</v>
      </c>
      <c r="B140" s="14" t="s">
        <v>57</v>
      </c>
      <c r="C140" s="14">
        <v>13</v>
      </c>
      <c r="D140" t="s">
        <v>218</v>
      </c>
      <c r="E140" s="11">
        <v>200000</v>
      </c>
      <c r="F140" s="12">
        <f t="shared" si="2"/>
        <v>440000.00000000006</v>
      </c>
    </row>
    <row r="141" spans="1:6" x14ac:dyDescent="0.2">
      <c r="A141" s="14"/>
      <c r="B141" s="14"/>
      <c r="C141" s="14"/>
      <c r="D141" t="s">
        <v>219</v>
      </c>
      <c r="E141" s="11">
        <v>132000</v>
      </c>
      <c r="F141" s="12">
        <f t="shared" si="2"/>
        <v>290400</v>
      </c>
    </row>
    <row r="142" spans="1:6" x14ac:dyDescent="0.2">
      <c r="A142" s="14"/>
      <c r="B142" s="14"/>
      <c r="C142" s="14"/>
      <c r="D142" t="s">
        <v>220</v>
      </c>
      <c r="E142" s="11">
        <v>110000</v>
      </c>
      <c r="F142" s="12">
        <f t="shared" si="2"/>
        <v>242000.00000000003</v>
      </c>
    </row>
    <row r="143" spans="1:6" x14ac:dyDescent="0.2">
      <c r="A143" s="14"/>
      <c r="B143" s="14"/>
      <c r="C143" s="14"/>
      <c r="D143" t="s">
        <v>221</v>
      </c>
      <c r="E143" s="11">
        <v>103831</v>
      </c>
      <c r="F143" s="12">
        <f t="shared" si="2"/>
        <v>228428.2</v>
      </c>
    </row>
    <row r="144" spans="1:6" x14ac:dyDescent="0.2">
      <c r="A144" s="14"/>
      <c r="B144" s="14"/>
      <c r="C144" s="14"/>
      <c r="D144" t="s">
        <v>222</v>
      </c>
      <c r="E144" s="11">
        <v>100000</v>
      </c>
      <c r="F144" s="12">
        <f t="shared" si="2"/>
        <v>220000.00000000003</v>
      </c>
    </row>
    <row r="145" spans="1:6" x14ac:dyDescent="0.2">
      <c r="A145" s="14"/>
      <c r="B145" s="14"/>
      <c r="C145" s="14"/>
      <c r="D145" t="s">
        <v>223</v>
      </c>
      <c r="E145" s="11">
        <v>90000</v>
      </c>
      <c r="F145" s="12">
        <f t="shared" si="2"/>
        <v>198000.00000000003</v>
      </c>
    </row>
    <row r="146" spans="1:6" x14ac:dyDescent="0.2">
      <c r="A146" s="14"/>
      <c r="B146" s="14"/>
      <c r="C146" s="14"/>
      <c r="D146" t="s">
        <v>224</v>
      </c>
      <c r="E146" s="11">
        <v>72455</v>
      </c>
      <c r="F146" s="12">
        <f t="shared" si="2"/>
        <v>159401</v>
      </c>
    </row>
    <row r="147" spans="1:6" x14ac:dyDescent="0.2">
      <c r="A147" s="14"/>
      <c r="B147" s="14"/>
      <c r="C147" s="14"/>
      <c r="D147" t="s">
        <v>225</v>
      </c>
      <c r="E147" s="11">
        <v>68595</v>
      </c>
      <c r="F147" s="12">
        <f t="shared" si="2"/>
        <v>150909</v>
      </c>
    </row>
    <row r="148" spans="1:6" x14ac:dyDescent="0.2">
      <c r="A148" s="14"/>
      <c r="B148" s="14"/>
      <c r="C148" s="14"/>
      <c r="D148" t="s">
        <v>226</v>
      </c>
      <c r="E148" s="11">
        <v>66079</v>
      </c>
      <c r="F148" s="12">
        <f t="shared" si="2"/>
        <v>145373.80000000002</v>
      </c>
    </row>
    <row r="149" spans="1:6" x14ac:dyDescent="0.2">
      <c r="A149" s="14"/>
      <c r="B149" s="14"/>
      <c r="C149" s="14"/>
      <c r="D149" t="s">
        <v>227</v>
      </c>
      <c r="E149" s="11">
        <v>53307</v>
      </c>
      <c r="F149" s="12">
        <f t="shared" si="2"/>
        <v>117275.40000000001</v>
      </c>
    </row>
    <row r="150" spans="1:6" x14ac:dyDescent="0.2">
      <c r="A150" s="14"/>
      <c r="B150" s="14"/>
      <c r="C150" s="14"/>
      <c r="D150" t="s">
        <v>228</v>
      </c>
      <c r="E150" s="11">
        <v>49420</v>
      </c>
      <c r="F150" s="12">
        <f t="shared" si="2"/>
        <v>108724.00000000001</v>
      </c>
    </row>
    <row r="151" spans="1:6" x14ac:dyDescent="0.2">
      <c r="A151" s="14"/>
      <c r="B151" s="14"/>
      <c r="C151" s="14"/>
      <c r="D151" t="s">
        <v>229</v>
      </c>
      <c r="E151" s="11">
        <v>32207</v>
      </c>
      <c r="F151" s="12">
        <f t="shared" si="2"/>
        <v>70855.400000000009</v>
      </c>
    </row>
    <row r="152" spans="1:6" x14ac:dyDescent="0.2">
      <c r="A152" s="14"/>
      <c r="B152" s="14"/>
      <c r="C152" s="14"/>
      <c r="D152" t="s">
        <v>230</v>
      </c>
      <c r="E152" s="11">
        <v>13911</v>
      </c>
      <c r="F152" s="12">
        <f t="shared" si="2"/>
        <v>30604.2</v>
      </c>
    </row>
    <row r="153" spans="1:6" ht="16" customHeight="1" x14ac:dyDescent="0.2">
      <c r="A153" s="14">
        <v>13</v>
      </c>
      <c r="B153" s="14" t="s">
        <v>62</v>
      </c>
      <c r="C153" s="14">
        <v>12</v>
      </c>
      <c r="D153" t="s">
        <v>231</v>
      </c>
      <c r="E153" s="11">
        <v>205908</v>
      </c>
      <c r="F153" s="12">
        <f t="shared" si="2"/>
        <v>452997.60000000003</v>
      </c>
    </row>
    <row r="154" spans="1:6" x14ac:dyDescent="0.2">
      <c r="A154" s="14"/>
      <c r="B154" s="14"/>
      <c r="C154" s="14"/>
      <c r="D154" t="s">
        <v>232</v>
      </c>
      <c r="E154" s="11">
        <v>170000</v>
      </c>
      <c r="F154" s="12">
        <f t="shared" si="2"/>
        <v>374000.00000000006</v>
      </c>
    </row>
    <row r="155" spans="1:6" x14ac:dyDescent="0.2">
      <c r="A155" s="14"/>
      <c r="B155" s="14"/>
      <c r="C155" s="14"/>
      <c r="D155" t="s">
        <v>233</v>
      </c>
      <c r="E155" s="11">
        <v>93831</v>
      </c>
      <c r="F155" s="12">
        <f t="shared" si="2"/>
        <v>206428.2</v>
      </c>
    </row>
    <row r="156" spans="1:6" x14ac:dyDescent="0.2">
      <c r="A156" s="14"/>
      <c r="B156" s="14"/>
      <c r="C156" s="14"/>
      <c r="D156" t="s">
        <v>234</v>
      </c>
      <c r="E156" s="11">
        <v>91981</v>
      </c>
      <c r="F156" s="12">
        <f t="shared" si="2"/>
        <v>202358.2</v>
      </c>
    </row>
    <row r="157" spans="1:6" x14ac:dyDescent="0.2">
      <c r="A157" s="14"/>
      <c r="B157" s="14"/>
      <c r="C157" s="14"/>
      <c r="D157" t="s">
        <v>235</v>
      </c>
      <c r="E157" s="11">
        <v>81079</v>
      </c>
      <c r="F157" s="12">
        <f t="shared" si="2"/>
        <v>178373.80000000002</v>
      </c>
    </row>
    <row r="158" spans="1:6" x14ac:dyDescent="0.2">
      <c r="A158" s="14"/>
      <c r="B158" s="14"/>
      <c r="C158" s="14"/>
      <c r="D158" t="s">
        <v>236</v>
      </c>
      <c r="E158" s="11">
        <v>78831</v>
      </c>
      <c r="F158" s="12">
        <f t="shared" si="2"/>
        <v>173428.2</v>
      </c>
    </row>
    <row r="159" spans="1:6" x14ac:dyDescent="0.2">
      <c r="A159" s="14"/>
      <c r="B159" s="14"/>
      <c r="C159" s="14"/>
      <c r="D159" t="s">
        <v>237</v>
      </c>
      <c r="E159" s="11">
        <v>78831</v>
      </c>
      <c r="F159" s="12">
        <f t="shared" si="2"/>
        <v>173428.2</v>
      </c>
    </row>
    <row r="160" spans="1:6" x14ac:dyDescent="0.2">
      <c r="A160" s="14"/>
      <c r="B160" s="14"/>
      <c r="C160" s="14"/>
      <c r="D160" t="s">
        <v>238</v>
      </c>
      <c r="E160" s="11">
        <v>75643</v>
      </c>
      <c r="F160" s="12">
        <f t="shared" si="2"/>
        <v>166414.6</v>
      </c>
    </row>
    <row r="161" spans="1:6" x14ac:dyDescent="0.2">
      <c r="A161" s="14"/>
      <c r="B161" s="14"/>
      <c r="C161" s="14"/>
      <c r="D161" t="s">
        <v>239</v>
      </c>
      <c r="E161" s="11">
        <v>74909</v>
      </c>
      <c r="F161" s="12">
        <f t="shared" si="2"/>
        <v>164799.80000000002</v>
      </c>
    </row>
    <row r="162" spans="1:6" x14ac:dyDescent="0.2">
      <c r="A162" s="14"/>
      <c r="B162" s="14"/>
      <c r="C162" s="14"/>
      <c r="D162" t="s">
        <v>240</v>
      </c>
      <c r="E162" s="11">
        <v>69267</v>
      </c>
      <c r="F162" s="12">
        <f t="shared" si="2"/>
        <v>152387.40000000002</v>
      </c>
    </row>
    <row r="163" spans="1:6" x14ac:dyDescent="0.2">
      <c r="A163" s="14"/>
      <c r="B163" s="14"/>
      <c r="C163" s="14"/>
      <c r="D163" t="s">
        <v>241</v>
      </c>
      <c r="E163" s="11">
        <v>66710</v>
      </c>
      <c r="F163" s="12">
        <f t="shared" si="2"/>
        <v>146762</v>
      </c>
    </row>
    <row r="164" spans="1:6" x14ac:dyDescent="0.2">
      <c r="A164" s="14"/>
      <c r="B164" s="14"/>
      <c r="C164" s="14"/>
      <c r="D164" t="s">
        <v>242</v>
      </c>
      <c r="E164" s="11">
        <v>4442</v>
      </c>
      <c r="F164" s="12">
        <f t="shared" si="2"/>
        <v>9772.4000000000015</v>
      </c>
    </row>
    <row r="165" spans="1:6" x14ac:dyDescent="0.2">
      <c r="F165" s="12"/>
    </row>
    <row r="166" spans="1:6" x14ac:dyDescent="0.2">
      <c r="F166" s="12"/>
    </row>
    <row r="167" spans="1:6" x14ac:dyDescent="0.2">
      <c r="F167" s="12"/>
    </row>
  </sheetData>
  <mergeCells count="39">
    <mergeCell ref="A153:A164"/>
    <mergeCell ref="B153:B164"/>
    <mergeCell ref="C153:C164"/>
    <mergeCell ref="A128:A139"/>
    <mergeCell ref="B128:B139"/>
    <mergeCell ref="C128:C139"/>
    <mergeCell ref="A140:A152"/>
    <mergeCell ref="B140:B152"/>
    <mergeCell ref="C140:C152"/>
    <mergeCell ref="A104:A115"/>
    <mergeCell ref="B104:B115"/>
    <mergeCell ref="C104:C115"/>
    <mergeCell ref="A116:A127"/>
    <mergeCell ref="B116:B127"/>
    <mergeCell ref="C116:C127"/>
    <mergeCell ref="A76:A91"/>
    <mergeCell ref="B76:B91"/>
    <mergeCell ref="C76:C91"/>
    <mergeCell ref="A92:A103"/>
    <mergeCell ref="B92:B103"/>
    <mergeCell ref="C92:C103"/>
    <mergeCell ref="A52:A63"/>
    <mergeCell ref="B52:B63"/>
    <mergeCell ref="C52:C63"/>
    <mergeCell ref="A64:A75"/>
    <mergeCell ref="B64:B75"/>
    <mergeCell ref="C64:C75"/>
    <mergeCell ref="A28:A39"/>
    <mergeCell ref="B28:B39"/>
    <mergeCell ref="C28:C39"/>
    <mergeCell ref="A40:A51"/>
    <mergeCell ref="B40:B51"/>
    <mergeCell ref="C40:C51"/>
    <mergeCell ref="B13:B27"/>
    <mergeCell ref="C13:C27"/>
    <mergeCell ref="A2:A12"/>
    <mergeCell ref="B2:B12"/>
    <mergeCell ref="C2:C12"/>
    <mergeCell ref="A13:A27"/>
  </mergeCells>
  <phoneticPr fontId="7" type="noConversion"/>
  <hyperlinks>
    <hyperlink ref="B40" r:id="rId1" display="https://www.spotrac.com/redirect/team/349/cap/2025" xr:uid="{BAD3A762-C1B7-CB47-BB96-2285D5217CCA}"/>
    <hyperlink ref="B52" r:id="rId2" display="https://www.spotrac.com/redirect/team/340/cap/2025" xr:uid="{4E3824A7-6389-824D-86A6-37A97E091F98}"/>
    <hyperlink ref="B64" r:id="rId3" display="https://www.spotrac.com/redirect/team/348/cap/2025" xr:uid="{143A17CB-144A-4B45-BFF4-736D17774135}"/>
    <hyperlink ref="B76" r:id="rId4" display="https://www.spotrac.com/redirect/team/344/cap/2025" xr:uid="{D84FA622-446B-8B42-9D48-CBE0893DCA02}"/>
    <hyperlink ref="B92" r:id="rId5" display="https://www.spotrac.com/redirect/team/346/cap/2025" xr:uid="{AA9C4DC0-8A33-3141-97FC-50D10C9084BB}"/>
    <hyperlink ref="B104" r:id="rId6" display="https://www.spotrac.com/redirect/team/341/cap/2025" xr:uid="{CC188AE3-18D2-BD46-B385-B7944675A9EE}"/>
    <hyperlink ref="B116" r:id="rId7" display="https://www.spotrac.com/redirect/team/350/cap/2025" xr:uid="{D7A4231D-CC7E-8741-988C-DC66461D2772}"/>
    <hyperlink ref="B2" r:id="rId8" display="https://www.spotrac.com/redirect/team/345/cap/2025" xr:uid="{601555B1-5FFC-7B49-9A80-92B65FFD347E}"/>
    <hyperlink ref="B13" r:id="rId9" display="https://www.spotrac.com/redirect/team/343/cap/2025" xr:uid="{6FADAE55-A23A-FA4A-8218-EDB2E9A4D5A1}"/>
    <hyperlink ref="B28" r:id="rId10" display="https://www.spotrac.com/redirect/team/347/cap/2025" xr:uid="{E1FAD5C6-8A1C-FE4B-A396-BB9C99D972EE}"/>
    <hyperlink ref="B153" r:id="rId11" display="https://www.spotrac.com/redirect/team/351/cap/2025" xr:uid="{D7009552-9839-704C-A732-DDB88B7FCA52}"/>
    <hyperlink ref="B140" r:id="rId12" display="https://www.spotrac.com/redirect/team/1021/cap/2025" xr:uid="{874FF704-B4AC-7647-BD87-B03BDE72354C}"/>
    <hyperlink ref="B128" r:id="rId13" display="https://www.spotrac.com/redirect/team/342/cap/2025" xr:uid="{5FBDA79F-B5F7-B94B-97C2-ADC3B2170AF9}"/>
    <hyperlink ref="G1" r:id="rId14" xr:uid="{B18A372C-D025-D348-9E5B-84C85CC980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League</vt:lpstr>
      <vt:lpstr>Players per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Anh Pham</dc:creator>
  <cp:lastModifiedBy>Duc Anh Pham</cp:lastModifiedBy>
  <dcterms:created xsi:type="dcterms:W3CDTF">2026-05-29T17:14:16Z</dcterms:created>
  <dcterms:modified xsi:type="dcterms:W3CDTF">2026-06-05T01:14:11Z</dcterms:modified>
</cp:coreProperties>
</file>